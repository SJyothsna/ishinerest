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othsnaSirasanameti\projects\learning\ishinerest\data\"/>
    </mc:Choice>
  </mc:AlternateContent>
  <xr:revisionPtr revIDLastSave="0" documentId="13_ncr:1_{CC9ECEF0-F662-4B01-A1F1-A73A17D2C36F}" xr6:coauthVersionLast="47" xr6:coauthVersionMax="47" xr10:uidLastSave="{00000000-0000-0000-0000-000000000000}"/>
  <bookViews>
    <workbookView xWindow="-96" yWindow="-96" windowWidth="23232" windowHeight="13872" firstSheet="2" activeTab="2" xr2:uid="{E6559681-2900-4A89-BF96-8F6529C5701B}"/>
  </bookViews>
  <sheets>
    <sheet name="Chapters" sheetId="1" r:id="rId1"/>
    <sheet name="Questions" sheetId="2" r:id="rId2"/>
    <sheet name="Prev_Exam_Papers" sheetId="3" r:id="rId3"/>
    <sheet name="Prev_Exam_Papers - table data" sheetId="4" r:id="rId4"/>
    <sheet name="Prev_Exam_Questions" sheetId="6" r:id="rId5"/>
    <sheet name="Prev_Exam_Questions - draft" sheetId="7" r:id="rId6"/>
    <sheet name="Sheet2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3" l="1"/>
  <c r="M22" i="3"/>
  <c r="N22" i="3"/>
  <c r="L23" i="3"/>
  <c r="M23" i="3"/>
  <c r="N23" i="3"/>
  <c r="L24" i="3"/>
  <c r="M24" i="3" s="1"/>
  <c r="L25" i="3"/>
  <c r="M25" i="3" s="1"/>
  <c r="L26" i="3"/>
  <c r="N26" i="3" s="1"/>
  <c r="M26" i="3"/>
  <c r="L27" i="3"/>
  <c r="M27" i="3" s="1"/>
  <c r="L28" i="3"/>
  <c r="M28" i="3" s="1"/>
  <c r="N28" i="3"/>
  <c r="L29" i="3"/>
  <c r="M29" i="3" s="1"/>
  <c r="L30" i="3"/>
  <c r="M30" i="3"/>
  <c r="N30" i="3"/>
  <c r="L31" i="3"/>
  <c r="M31" i="3"/>
  <c r="N31" i="3"/>
  <c r="L32" i="3"/>
  <c r="N32" i="3" s="1"/>
  <c r="M32" i="3"/>
  <c r="L33" i="3"/>
  <c r="M33" i="3" s="1"/>
  <c r="L34" i="3"/>
  <c r="M34" i="3" s="1"/>
  <c r="L35" i="3"/>
  <c r="M35" i="3" s="1"/>
  <c r="N35" i="3"/>
  <c r="L36" i="3"/>
  <c r="M36" i="3" s="1"/>
  <c r="N36" i="3"/>
  <c r="L37" i="3"/>
  <c r="M37" i="3" s="1"/>
  <c r="L38" i="3"/>
  <c r="M38" i="3"/>
  <c r="N38" i="3"/>
  <c r="L39" i="3"/>
  <c r="M39" i="3"/>
  <c r="N39" i="3"/>
  <c r="L40" i="3"/>
  <c r="M40" i="3" s="1"/>
  <c r="L41" i="3"/>
  <c r="M41" i="3" s="1"/>
  <c r="L42" i="3"/>
  <c r="N42" i="3" s="1"/>
  <c r="M42" i="3"/>
  <c r="L43" i="3"/>
  <c r="M43" i="3" s="1"/>
  <c r="L44" i="3"/>
  <c r="M44" i="3" s="1"/>
  <c r="N44" i="3"/>
  <c r="L45" i="3"/>
  <c r="M45" i="3" s="1"/>
  <c r="L46" i="3"/>
  <c r="M46" i="3"/>
  <c r="N46" i="3"/>
  <c r="L47" i="3"/>
  <c r="M47" i="3"/>
  <c r="N47" i="3"/>
  <c r="L48" i="3"/>
  <c r="N48" i="3" s="1"/>
  <c r="M48" i="3"/>
  <c r="L49" i="3"/>
  <c r="M49" i="3" s="1"/>
  <c r="L50" i="3"/>
  <c r="N50" i="3" s="1"/>
  <c r="M50" i="3"/>
  <c r="L51" i="3"/>
  <c r="M51" i="3" s="1"/>
  <c r="N51" i="3"/>
  <c r="L52" i="3"/>
  <c r="M52" i="3" s="1"/>
  <c r="N52" i="3"/>
  <c r="L53" i="3"/>
  <c r="M53" i="3" s="1"/>
  <c r="N53" i="3"/>
  <c r="L54" i="3"/>
  <c r="M54" i="3"/>
  <c r="N54" i="3"/>
  <c r="L55" i="3"/>
  <c r="M55" i="3"/>
  <c r="N55" i="3"/>
  <c r="L56" i="3"/>
  <c r="M56" i="3" s="1"/>
  <c r="L57" i="3"/>
  <c r="M57" i="3" s="1"/>
  <c r="L58" i="3"/>
  <c r="N58" i="3" s="1"/>
  <c r="M58" i="3"/>
  <c r="L59" i="3"/>
  <c r="M59" i="3" s="1"/>
  <c r="L60" i="3"/>
  <c r="M60" i="3" s="1"/>
  <c r="N60" i="3"/>
  <c r="L61" i="3"/>
  <c r="M61" i="3" s="1"/>
  <c r="L62" i="3"/>
  <c r="M62" i="3"/>
  <c r="N62" i="3"/>
  <c r="L63" i="3"/>
  <c r="M63" i="3"/>
  <c r="N63" i="3"/>
  <c r="L64" i="3"/>
  <c r="N64" i="3" s="1"/>
  <c r="M64" i="3"/>
  <c r="L65" i="3"/>
  <c r="M65" i="3" s="1"/>
  <c r="L66" i="3"/>
  <c r="N66" i="3" s="1"/>
  <c r="M66" i="3"/>
  <c r="L67" i="3"/>
  <c r="M67" i="3" s="1"/>
  <c r="N67" i="3"/>
  <c r="L68" i="3"/>
  <c r="M68" i="3" s="1"/>
  <c r="N68" i="3"/>
  <c r="L69" i="3"/>
  <c r="M69" i="3" s="1"/>
  <c r="N69" i="3"/>
  <c r="L70" i="3"/>
  <c r="M70" i="3"/>
  <c r="N70" i="3"/>
  <c r="L71" i="3"/>
  <c r="M71" i="3"/>
  <c r="N71" i="3"/>
  <c r="L72" i="3"/>
  <c r="N72" i="3" s="1"/>
  <c r="M72" i="3"/>
  <c r="L73" i="3"/>
  <c r="M73" i="3" s="1"/>
  <c r="L74" i="3"/>
  <c r="N74" i="3" s="1"/>
  <c r="M74" i="3"/>
  <c r="L75" i="3"/>
  <c r="M75" i="3" s="1"/>
  <c r="L76" i="3"/>
  <c r="M76" i="3" s="1"/>
  <c r="N76" i="3"/>
  <c r="L77" i="3"/>
  <c r="M77" i="3" s="1"/>
  <c r="L78" i="3"/>
  <c r="M78" i="3"/>
  <c r="N78" i="3"/>
  <c r="L79" i="3"/>
  <c r="M79" i="3"/>
  <c r="N79" i="3"/>
  <c r="L80" i="3"/>
  <c r="N80" i="3" s="1"/>
  <c r="M80" i="3"/>
  <c r="L81" i="3"/>
  <c r="M81" i="3" s="1"/>
  <c r="L82" i="3"/>
  <c r="N82" i="3" s="1"/>
  <c r="M82" i="3"/>
  <c r="L83" i="3"/>
  <c r="M83" i="3" s="1"/>
  <c r="N83" i="3"/>
  <c r="L84" i="3"/>
  <c r="M84" i="3" s="1"/>
  <c r="N84" i="3"/>
  <c r="L85" i="3"/>
  <c r="M85" i="3" s="1"/>
  <c r="N85" i="3"/>
  <c r="L86" i="3"/>
  <c r="M86" i="3"/>
  <c r="N86" i="3"/>
  <c r="L87" i="3"/>
  <c r="M87" i="3"/>
  <c r="N87" i="3"/>
  <c r="L88" i="3"/>
  <c r="N88" i="3" s="1"/>
  <c r="M88" i="3"/>
  <c r="L89" i="3"/>
  <c r="M89" i="3" s="1"/>
  <c r="L90" i="3"/>
  <c r="N90" i="3" s="1"/>
  <c r="M90" i="3"/>
  <c r="L91" i="3"/>
  <c r="M91" i="3" s="1"/>
  <c r="L92" i="3"/>
  <c r="M92" i="3" s="1"/>
  <c r="N92" i="3"/>
  <c r="L93" i="3"/>
  <c r="M93" i="3" s="1"/>
  <c r="L94" i="3"/>
  <c r="M94" i="3"/>
  <c r="N94" i="3"/>
  <c r="L95" i="3"/>
  <c r="M95" i="3"/>
  <c r="N95" i="3"/>
  <c r="L96" i="3"/>
  <c r="N96" i="3" s="1"/>
  <c r="M96" i="3"/>
  <c r="L97" i="3"/>
  <c r="M97" i="3" s="1"/>
  <c r="L98" i="3"/>
  <c r="N98" i="3" s="1"/>
  <c r="M98" i="3"/>
  <c r="L99" i="3"/>
  <c r="M99" i="3" s="1"/>
  <c r="N99" i="3"/>
  <c r="L100" i="3"/>
  <c r="M100" i="3" s="1"/>
  <c r="N100" i="3"/>
  <c r="L101" i="3"/>
  <c r="M101" i="3" s="1"/>
  <c r="N101" i="3"/>
  <c r="N3" i="3"/>
  <c r="N2" i="3"/>
  <c r="M2" i="3"/>
  <c r="M3" i="3"/>
  <c r="M7" i="3"/>
  <c r="M9" i="3"/>
  <c r="I21" i="6"/>
  <c r="J21" i="6" s="1"/>
  <c r="I20" i="6"/>
  <c r="J20" i="6" s="1"/>
  <c r="I19" i="6"/>
  <c r="J19" i="6" s="1"/>
  <c r="I18" i="6"/>
  <c r="J18" i="6" s="1"/>
  <c r="I17" i="6"/>
  <c r="J17" i="6" s="1"/>
  <c r="I16" i="6"/>
  <c r="J16" i="6" s="1"/>
  <c r="I15" i="6"/>
  <c r="J15" i="6" s="1"/>
  <c r="I14" i="6"/>
  <c r="J14" i="6" s="1"/>
  <c r="I8" i="6"/>
  <c r="J8" i="6" s="1"/>
  <c r="I6" i="6"/>
  <c r="J6" i="6" s="1"/>
  <c r="I9" i="6"/>
  <c r="J9" i="6" s="1"/>
  <c r="I10" i="6"/>
  <c r="J10" i="6" s="1"/>
  <c r="I11" i="6"/>
  <c r="J11" i="6" s="1"/>
  <c r="I12" i="6"/>
  <c r="J12" i="6" s="1"/>
  <c r="I13" i="6"/>
  <c r="J13" i="6" s="1"/>
  <c r="J40" i="7"/>
  <c r="I40" i="7"/>
  <c r="J39" i="7"/>
  <c r="I39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6" i="7"/>
  <c r="I26" i="7"/>
  <c r="J25" i="7"/>
  <c r="I25" i="7"/>
  <c r="J24" i="7"/>
  <c r="I24" i="7"/>
  <c r="J23" i="7"/>
  <c r="I23" i="7"/>
  <c r="J22" i="7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  <c r="J2" i="7"/>
  <c r="I2" i="7"/>
  <c r="I3" i="6"/>
  <c r="J3" i="6" s="1"/>
  <c r="I4" i="6"/>
  <c r="J4" i="6" s="1"/>
  <c r="I5" i="6"/>
  <c r="J5" i="6" s="1"/>
  <c r="I2" i="6"/>
  <c r="J2" i="6" s="1"/>
  <c r="L12" i="3"/>
  <c r="N12" i="3" s="1"/>
  <c r="L13" i="3"/>
  <c r="N13" i="3" s="1"/>
  <c r="L14" i="3"/>
  <c r="M14" i="3" s="1"/>
  <c r="L15" i="3"/>
  <c r="M15" i="3" s="1"/>
  <c r="L16" i="3"/>
  <c r="M16" i="3" s="1"/>
  <c r="L17" i="3"/>
  <c r="M17" i="3" s="1"/>
  <c r="L18" i="3"/>
  <c r="N18" i="3" s="1"/>
  <c r="L19" i="3"/>
  <c r="N19" i="3" s="1"/>
  <c r="L20" i="3"/>
  <c r="N20" i="3" s="1"/>
  <c r="L21" i="3"/>
  <c r="M21" i="3" s="1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L3" i="3"/>
  <c r="L4" i="3"/>
  <c r="N4" i="3" s="1"/>
  <c r="L5" i="3"/>
  <c r="N5" i="3" s="1"/>
  <c r="L6" i="3"/>
  <c r="N6" i="3" s="1"/>
  <c r="L7" i="3"/>
  <c r="N7" i="3" s="1"/>
  <c r="L8" i="3"/>
  <c r="N8" i="3" s="1"/>
  <c r="L9" i="3"/>
  <c r="N9" i="3" s="1"/>
  <c r="L10" i="3"/>
  <c r="N10" i="3" s="1"/>
  <c r="L11" i="3"/>
  <c r="M11" i="3" s="1"/>
  <c r="L2" i="3"/>
  <c r="N37" i="3" l="1"/>
  <c r="N89" i="3"/>
  <c r="N73" i="3"/>
  <c r="N57" i="3"/>
  <c r="N41" i="3"/>
  <c r="N25" i="3"/>
  <c r="N56" i="3"/>
  <c r="N40" i="3"/>
  <c r="N24" i="3"/>
  <c r="N93" i="3"/>
  <c r="N77" i="3"/>
  <c r="N61" i="3"/>
  <c r="N45" i="3"/>
  <c r="N29" i="3"/>
  <c r="N34" i="3"/>
  <c r="N97" i="3"/>
  <c r="N81" i="3"/>
  <c r="N65" i="3"/>
  <c r="N49" i="3"/>
  <c r="N33" i="3"/>
  <c r="N91" i="3"/>
  <c r="N75" i="3"/>
  <c r="N59" i="3"/>
  <c r="N43" i="3"/>
  <c r="N27" i="3"/>
  <c r="M20" i="3"/>
  <c r="M18" i="3"/>
  <c r="N21" i="3"/>
  <c r="M12" i="3"/>
  <c r="M19" i="3"/>
  <c r="N17" i="3"/>
  <c r="N16" i="3"/>
  <c r="N15" i="3"/>
  <c r="N14" i="3"/>
  <c r="M13" i="3"/>
  <c r="N11" i="3"/>
  <c r="M10" i="3"/>
  <c r="M8" i="3"/>
  <c r="M6" i="3"/>
  <c r="M5" i="3"/>
  <c r="M4" i="3"/>
</calcChain>
</file>

<file path=xl/sharedStrings.xml><?xml version="1.0" encoding="utf-8"?>
<sst xmlns="http://schemas.openxmlformats.org/spreadsheetml/2006/main" count="1594" uniqueCount="802">
  <si>
    <t>Chapter Id</t>
  </si>
  <si>
    <t>Subject Id</t>
  </si>
  <si>
    <t>Chapter Name</t>
  </si>
  <si>
    <t>LC0401</t>
  </si>
  <si>
    <t>Food</t>
  </si>
  <si>
    <t>Cell Structure</t>
  </si>
  <si>
    <t>Cell Diversity</t>
  </si>
  <si>
    <t>Cell Division</t>
  </si>
  <si>
    <t>QUESTION_ID</t>
  </si>
  <si>
    <t>CHAPTER_ID</t>
  </si>
  <si>
    <t>QUESTION_TEXT</t>
  </si>
  <si>
    <t>CORRECT_ANSWER</t>
  </si>
  <si>
    <t>OPTIONA</t>
  </si>
  <si>
    <t>OPTIONB</t>
  </si>
  <si>
    <t>OPTIONC</t>
  </si>
  <si>
    <t>OPTIOND</t>
  </si>
  <si>
    <t>EXPLANATION</t>
  </si>
  <si>
    <t>IMAGE_PATH</t>
  </si>
  <si>
    <t>DIFFICULTY_LEVEL</t>
  </si>
  <si>
    <t>QUESTION_TYPE</t>
  </si>
  <si>
    <t>In carbohydrates, what two elements are found in a 2:1 ratio?</t>
  </si>
  <si>
    <t>Hydrogen and Oxygen</t>
  </si>
  <si>
    <t>Carbon and Oxygen</t>
  </si>
  <si>
    <t>Hydrogen and Nitrogen</t>
  </si>
  <si>
    <t>Oxygen and Nitrogen</t>
  </si>
  <si>
    <r>
      <t xml:space="preserve">Carbohydrates always have </t>
    </r>
    <r>
      <rPr>
        <b/>
        <sz val="11"/>
        <color theme="1"/>
        <rFont val="Aptos Narrow"/>
        <family val="2"/>
        <scheme val="minor"/>
      </rPr>
      <t>twice as much hydrogen as oxygen</t>
    </r>
    <r>
      <rPr>
        <sz val="11"/>
        <color theme="1"/>
        <rFont val="Aptos Narrow"/>
        <family val="2"/>
        <scheme val="minor"/>
      </rPr>
      <t xml:space="preserve"> (just like water - H₂O).</t>
    </r>
  </si>
  <si>
    <t>What is the name given to the simplest unit of carbohydrates?</t>
  </si>
  <si>
    <t>Monosaccharides</t>
  </si>
  <si>
    <t>Disaccharides</t>
  </si>
  <si>
    <t>Polysaccharides</t>
  </si>
  <si>
    <t>Lipids</t>
  </si>
  <si>
    <r>
      <t>Monosaccharides</t>
    </r>
    <r>
      <rPr>
        <sz val="11"/>
        <color theme="1"/>
        <rFont val="Aptos Narrow"/>
        <family val="2"/>
        <scheme val="minor"/>
      </rPr>
      <t xml:space="preserve"> are the </t>
    </r>
    <r>
      <rPr>
        <b/>
        <sz val="11"/>
        <color theme="1"/>
        <rFont val="Aptos Narrow"/>
        <family val="2"/>
        <scheme val="minor"/>
      </rPr>
      <t>smallest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simplest</t>
    </r>
    <r>
      <rPr>
        <sz val="11"/>
        <color theme="1"/>
        <rFont val="Aptos Narrow"/>
        <family val="2"/>
        <scheme val="minor"/>
      </rPr>
      <t xml:space="preserve"> sugar units, like </t>
    </r>
    <r>
      <rPr>
        <b/>
        <sz val="11"/>
        <color theme="1"/>
        <rFont val="Aptos Narrow"/>
        <family val="2"/>
        <scheme val="minor"/>
      </rPr>
      <t>glucose and fructose</t>
    </r>
    <r>
      <rPr>
        <sz val="11"/>
        <color theme="1"/>
        <rFont val="Aptos Narrow"/>
        <family val="2"/>
        <scheme val="minor"/>
      </rPr>
      <t>.</t>
    </r>
  </si>
  <si>
    <t>Name a catabolic process that produces these simplest units.</t>
  </si>
  <si>
    <t>Respiration</t>
  </si>
  <si>
    <t>Photosynthesis</t>
  </si>
  <si>
    <t>Polymerization</t>
  </si>
  <si>
    <t>Transpiration</t>
  </si>
  <si>
    <r>
      <t>Respiration</t>
    </r>
    <r>
      <rPr>
        <sz val="11"/>
        <color theme="1"/>
        <rFont val="Aptos Narrow"/>
        <family val="2"/>
        <scheme val="minor"/>
      </rPr>
      <t xml:space="preserve"> breaks down bigger carbohydrate molecules into </t>
    </r>
    <r>
      <rPr>
        <b/>
        <sz val="11"/>
        <color theme="1"/>
        <rFont val="Aptos Narrow"/>
        <family val="2"/>
        <scheme val="minor"/>
      </rPr>
      <t>energy and simple sugars</t>
    </r>
    <r>
      <rPr>
        <sz val="11"/>
        <color theme="1"/>
        <rFont val="Aptos Narrow"/>
        <family val="2"/>
        <scheme val="minor"/>
      </rPr>
      <t>.</t>
    </r>
  </si>
  <si>
    <t>What is the general formula of carbohydrates?</t>
  </si>
  <si>
    <t>Cx(H₂O)y</t>
  </si>
  <si>
    <t>Cx(HO)y</t>
  </si>
  <si>
    <t>Cx(H₂O)₂y</t>
  </si>
  <si>
    <t>CxOHy</t>
  </si>
  <si>
    <r>
      <t xml:space="preserve">The formula shows that carbohydrates are made of </t>
    </r>
    <r>
      <rPr>
        <b/>
        <sz val="11"/>
        <color theme="1"/>
        <rFont val="Aptos Narrow"/>
        <family val="2"/>
        <scheme val="minor"/>
      </rPr>
      <t>carbon (C), hydrogen (H), and oxygen (O)</t>
    </r>
    <r>
      <rPr>
        <sz val="11"/>
        <color theme="1"/>
        <rFont val="Aptos Narrow"/>
        <family val="2"/>
        <scheme val="minor"/>
      </rPr>
      <t xml:space="preserve"> in a specific pattern.</t>
    </r>
  </si>
  <si>
    <t>What is the most common value of x/y in the general formula of carbohydrates?</t>
  </si>
  <si>
    <r>
      <t xml:space="preserve">The most common carbohydrate is </t>
    </r>
    <r>
      <rPr>
        <b/>
        <sz val="11"/>
        <color theme="1"/>
        <rFont val="Aptos Narrow"/>
        <family val="2"/>
        <scheme val="minor"/>
      </rPr>
      <t>glucose (C₆H₁₂O₆)</t>
    </r>
    <r>
      <rPr>
        <sz val="11"/>
        <color theme="1"/>
        <rFont val="Aptos Narrow"/>
        <family val="2"/>
        <scheme val="minor"/>
      </rPr>
      <t xml:space="preserve">, where </t>
    </r>
    <r>
      <rPr>
        <b/>
        <sz val="11"/>
        <color theme="1"/>
        <rFont val="Aptos Narrow"/>
        <family val="2"/>
        <scheme val="minor"/>
      </rPr>
      <t>x = 6 and y = 6</t>
    </r>
    <r>
      <rPr>
        <sz val="11"/>
        <color theme="1"/>
        <rFont val="Aptos Narrow"/>
        <family val="2"/>
        <scheme val="minor"/>
      </rPr>
      <t>.</t>
    </r>
  </si>
  <si>
    <t>What is the ratio of H to O atoms in a carbohydrate?</t>
  </si>
  <si>
    <t>2:1</t>
  </si>
  <si>
    <t>3:1</t>
  </si>
  <si>
    <t>4:1</t>
  </si>
  <si>
    <t>1:1</t>
  </si>
  <si>
    <r>
      <t xml:space="preserve">Carbohydrates always have </t>
    </r>
    <r>
      <rPr>
        <b/>
        <sz val="11"/>
        <color theme="1"/>
        <rFont val="Aptos Narrow"/>
        <family val="2"/>
        <scheme val="minor"/>
      </rPr>
      <t>twice as many hydrogen atoms as oxygen atoms</t>
    </r>
    <r>
      <rPr>
        <sz val="11"/>
        <color theme="1"/>
        <rFont val="Aptos Narrow"/>
        <family val="2"/>
        <scheme val="minor"/>
      </rPr>
      <t>.</t>
    </r>
  </si>
  <si>
    <t>What is a monosaccharide?</t>
  </si>
  <si>
    <t>The simplest sugar unit.</t>
  </si>
  <si>
    <t>A complex carbohydrate</t>
  </si>
  <si>
    <t>A protein subunit</t>
  </si>
  <si>
    <t>A lipid molecule</t>
  </si>
  <si>
    <r>
      <t xml:space="preserve">A </t>
    </r>
    <r>
      <rPr>
        <b/>
        <sz val="11"/>
        <color theme="1"/>
        <rFont val="Aptos Narrow"/>
        <family val="2"/>
        <scheme val="minor"/>
      </rPr>
      <t>monosaccharide</t>
    </r>
    <r>
      <rPr>
        <sz val="11"/>
        <color theme="1"/>
        <rFont val="Aptos Narrow"/>
        <family val="2"/>
        <scheme val="minor"/>
      </rPr>
      <t xml:space="preserve"> is a </t>
    </r>
    <r>
      <rPr>
        <b/>
        <sz val="11"/>
        <color theme="1"/>
        <rFont val="Aptos Narrow"/>
        <family val="2"/>
        <scheme val="minor"/>
      </rPr>
      <t>single</t>
    </r>
    <r>
      <rPr>
        <sz val="11"/>
        <color theme="1"/>
        <rFont val="Aptos Narrow"/>
        <family val="2"/>
        <scheme val="minor"/>
      </rPr>
      <t xml:space="preserve"> sugar molecule, like </t>
    </r>
    <r>
      <rPr>
        <b/>
        <sz val="11"/>
        <color theme="1"/>
        <rFont val="Aptos Narrow"/>
        <family val="2"/>
        <scheme val="minor"/>
      </rPr>
      <t>glucose</t>
    </r>
    <r>
      <rPr>
        <sz val="11"/>
        <color theme="1"/>
        <rFont val="Aptos Narrow"/>
        <family val="2"/>
        <scheme val="minor"/>
      </rPr>
      <t>.</t>
    </r>
  </si>
  <si>
    <t>What is a disaccharide?</t>
  </si>
  <si>
    <t>Two monosaccharides joined together</t>
  </si>
  <si>
    <t>A single sugar unit</t>
  </si>
  <si>
    <t>A type of lipid</t>
  </si>
  <si>
    <t>A polysaccharide</t>
  </si>
  <si>
    <r>
      <t xml:space="preserve">A </t>
    </r>
    <r>
      <rPr>
        <b/>
        <sz val="11"/>
        <color theme="1"/>
        <rFont val="Aptos Narrow"/>
        <family val="2"/>
        <scheme val="minor"/>
      </rPr>
      <t>disaccharide</t>
    </r>
    <r>
      <rPr>
        <sz val="11"/>
        <color theme="1"/>
        <rFont val="Aptos Narrow"/>
        <family val="2"/>
        <scheme val="minor"/>
      </rPr>
      <t xml:space="preserve"> is made by </t>
    </r>
    <r>
      <rPr>
        <b/>
        <sz val="11"/>
        <color theme="1"/>
        <rFont val="Aptos Narrow"/>
        <family val="2"/>
        <scheme val="minor"/>
      </rPr>
      <t>joining two monosaccharides</t>
    </r>
    <r>
      <rPr>
        <sz val="11"/>
        <color theme="1"/>
        <rFont val="Aptos Narrow"/>
        <family val="2"/>
        <scheme val="minor"/>
      </rPr>
      <t xml:space="preserve">, like </t>
    </r>
    <r>
      <rPr>
        <b/>
        <sz val="11"/>
        <color theme="1"/>
        <rFont val="Aptos Narrow"/>
        <family val="2"/>
        <scheme val="minor"/>
      </rPr>
      <t>sucrose (glucose + fructose)</t>
    </r>
    <r>
      <rPr>
        <sz val="11"/>
        <color theme="1"/>
        <rFont val="Aptos Narrow"/>
        <family val="2"/>
        <scheme val="minor"/>
      </rPr>
      <t>.</t>
    </r>
  </si>
  <si>
    <t>What is a polysaccharide?</t>
  </si>
  <si>
    <t>Many monosaccharides.</t>
  </si>
  <si>
    <t>A single sugar molecule</t>
  </si>
  <si>
    <t>A type of protein</t>
  </si>
  <si>
    <t>A fatty acid</t>
  </si>
  <si>
    <r>
      <t xml:space="preserve">A </t>
    </r>
    <r>
      <rPr>
        <b/>
        <sz val="11"/>
        <color theme="1"/>
        <rFont val="Aptos Narrow"/>
        <family val="2"/>
        <scheme val="minor"/>
      </rPr>
      <t>polysaccharide</t>
    </r>
    <r>
      <rPr>
        <sz val="11"/>
        <color theme="1"/>
        <rFont val="Aptos Narrow"/>
        <family val="2"/>
        <scheme val="minor"/>
      </rPr>
      <t xml:space="preserve"> is </t>
    </r>
    <r>
      <rPr>
        <b/>
        <sz val="11"/>
        <color theme="1"/>
        <rFont val="Aptos Narrow"/>
        <family val="2"/>
        <scheme val="minor"/>
      </rPr>
      <t>many sugar units</t>
    </r>
    <r>
      <rPr>
        <sz val="11"/>
        <color theme="1"/>
        <rFont val="Aptos Narrow"/>
        <family val="2"/>
        <scheme val="minor"/>
      </rPr>
      <t xml:space="preserve"> linked together, like </t>
    </r>
    <r>
      <rPr>
        <b/>
        <sz val="11"/>
        <color theme="1"/>
        <rFont val="Aptos Narrow"/>
        <family val="2"/>
        <scheme val="minor"/>
      </rPr>
      <t>starch or cellulose</t>
    </r>
    <r>
      <rPr>
        <sz val="11"/>
        <color theme="1"/>
        <rFont val="Aptos Narrow"/>
        <family val="2"/>
        <scheme val="minor"/>
      </rPr>
      <t>.</t>
    </r>
  </si>
  <si>
    <t xml:space="preserve"> Name the main structural polysaccharide in plants.</t>
  </si>
  <si>
    <t>Cellulose</t>
  </si>
  <si>
    <t>Starch</t>
  </si>
  <si>
    <t>Glycogen</t>
  </si>
  <si>
    <t>Chitin</t>
  </si>
  <si>
    <r>
      <t>Cellulose</t>
    </r>
    <r>
      <rPr>
        <sz val="11"/>
        <color theme="1"/>
        <rFont val="Aptos Narrow"/>
        <family val="2"/>
        <scheme val="minor"/>
      </rPr>
      <t xml:space="preserve"> is the </t>
    </r>
    <r>
      <rPr>
        <b/>
        <sz val="11"/>
        <color theme="1"/>
        <rFont val="Aptos Narrow"/>
        <family val="2"/>
        <scheme val="minor"/>
      </rPr>
      <t>main building material in plant cell walls</t>
    </r>
    <r>
      <rPr>
        <sz val="11"/>
        <color theme="1"/>
        <rFont val="Aptos Narrow"/>
        <family val="2"/>
        <scheme val="minor"/>
      </rPr>
      <t>.</t>
    </r>
  </si>
  <si>
    <t>What carbohydrate is always found in DNA?</t>
  </si>
  <si>
    <t>Deoxyribose</t>
  </si>
  <si>
    <t>Ribose</t>
  </si>
  <si>
    <t>Glucose</t>
  </si>
  <si>
    <t>Fructose</t>
  </si>
  <si>
    <r>
      <t>Deoxyribose</t>
    </r>
    <r>
      <rPr>
        <sz val="11"/>
        <color theme="1"/>
        <rFont val="Aptos Narrow"/>
        <family val="2"/>
        <scheme val="minor"/>
      </rPr>
      <t xml:space="preserve"> is the sugar found in </t>
    </r>
    <r>
      <rPr>
        <b/>
        <sz val="11"/>
        <color theme="1"/>
        <rFont val="Aptos Narrow"/>
        <family val="2"/>
        <scheme val="minor"/>
      </rPr>
      <t>DNA</t>
    </r>
    <r>
      <rPr>
        <sz val="11"/>
        <color theme="1"/>
        <rFont val="Aptos Narrow"/>
        <family val="2"/>
        <scheme val="minor"/>
      </rPr>
      <t xml:space="preserve"> that helps build the genetic material.</t>
    </r>
  </si>
  <si>
    <t>m-2024-biology-h.pdf</t>
  </si>
  <si>
    <t>m-2024-biology-o.pdf</t>
  </si>
  <si>
    <t>q-2024-biology-h-sec-a-b.pdf</t>
  </si>
  <si>
    <t>q-2024-biology-h-sec-c.pdf</t>
  </si>
  <si>
    <t>q-2024-biology-o-sec-a-b.pdf</t>
  </si>
  <si>
    <t>q-2024-biology-o-sec-c.pdf</t>
  </si>
  <si>
    <t>Year</t>
  </si>
  <si>
    <t>Exam_id</t>
  </si>
  <si>
    <t>Exam_URL</t>
  </si>
  <si>
    <t>Marking_URL</t>
  </si>
  <si>
    <t>Papertype</t>
  </si>
  <si>
    <t>Subject_ID</t>
  </si>
  <si>
    <t>LC04H</t>
  </si>
  <si>
    <t>Title</t>
  </si>
  <si>
    <t>Section A &amp; B</t>
  </si>
  <si>
    <t>Section C</t>
  </si>
  <si>
    <t>2024-LC04H-S-P1</t>
  </si>
  <si>
    <t>2024-LC04H-S-P2</t>
  </si>
  <si>
    <t>State Exam</t>
  </si>
  <si>
    <t>q-2020-biology-h-sec-a-b.pdf</t>
  </si>
  <si>
    <t>q-2020-biology-h-sec-c.pdf</t>
  </si>
  <si>
    <t>q-2020-biology-o-sec-a-b.pdf</t>
  </si>
  <si>
    <t>q-2020-biology-o-sec-c.pdf</t>
  </si>
  <si>
    <t>q-2021-biology-h-sec-a-b.pdf</t>
  </si>
  <si>
    <t>q-2021-biology-h-sec-c.pdf</t>
  </si>
  <si>
    <t>q-2021-biology-o-sec-a-b.pdf</t>
  </si>
  <si>
    <t>q-2021-biology-o-sec-c.pdf</t>
  </si>
  <si>
    <t>q-2022-biology-h-sec-a-b.pdf</t>
  </si>
  <si>
    <t>q-2022-biology-h-sec-c.pdf</t>
  </si>
  <si>
    <t>q-2022-biology-o-sec-a-b.pdf</t>
  </si>
  <si>
    <t>q-2022-biology-o-sec-c.pdf</t>
  </si>
  <si>
    <t>q-2023-biology-h-sec-a-b.pdf</t>
  </si>
  <si>
    <t>q-2023-biology-h-sec-c.pdf</t>
  </si>
  <si>
    <t>q-2023-biology-o-sec-a-b.pdf</t>
  </si>
  <si>
    <t>q-2023-biology-o-sec-c.pdf</t>
  </si>
  <si>
    <t>m-2020-biology-h.pdf</t>
  </si>
  <si>
    <t>m-2020-biology-o.pdf</t>
  </si>
  <si>
    <t>m-2021-biology-h.pdf</t>
  </si>
  <si>
    <t>m-2021-biology-o.pdf</t>
  </si>
  <si>
    <t>m-2022-biology-h.pdf</t>
  </si>
  <si>
    <t>m-2022-biology-o.pdf</t>
  </si>
  <si>
    <t>m-2023-biology-h.pdf</t>
  </si>
  <si>
    <t>m-2023-biology-o.pdf</t>
  </si>
  <si>
    <t>2020-LC04H-S-P1</t>
  </si>
  <si>
    <t>2020-LC04H-S-P2</t>
  </si>
  <si>
    <t>2021-LC04H-S-P1</t>
  </si>
  <si>
    <t>2021-LC04H-S-P2</t>
  </si>
  <si>
    <t>2022-LC04H-S-P1</t>
  </si>
  <si>
    <t>2022-LC04H-S-P2</t>
  </si>
  <si>
    <t>2023-LC04H-S-P1</t>
  </si>
  <si>
    <t>2023-LC04H-S-P2</t>
  </si>
  <si>
    <t>LC04O</t>
  </si>
  <si>
    <t>2020-LC04O-S-P1</t>
  </si>
  <si>
    <t>2020-LC04O-S-P2</t>
  </si>
  <si>
    <t>2021-LC04O-S-P1</t>
  </si>
  <si>
    <t>2021-LC04O-S-P2</t>
  </si>
  <si>
    <t>2022-LC04O-S-P1</t>
  </si>
  <si>
    <t>2022-LC04O-S-P2</t>
  </si>
  <si>
    <t>2023-LC04O-S-P1</t>
  </si>
  <si>
    <t>2023-LC04O-S-P2</t>
  </si>
  <si>
    <t>2024-LC04O-S-P1</t>
  </si>
  <si>
    <t>2024-LC04O-S-P2</t>
  </si>
  <si>
    <t>m-2020-maths-h.pdf</t>
  </si>
  <si>
    <t>m-2021-maths-h.pdf</t>
  </si>
  <si>
    <t>m-2022-maths-h.pdf</t>
  </si>
  <si>
    <t>m-2023-maths-h.pdf</t>
  </si>
  <si>
    <t>m-2024-maths-h.pdf</t>
  </si>
  <si>
    <t>q-2020-maths-h-p1.pdf</t>
  </si>
  <si>
    <t>q-2020-maths-h-p2.pdf</t>
  </si>
  <si>
    <t>q-2021-maths-h-p1.pdf</t>
  </si>
  <si>
    <t>q-2021-maths-h-p2.pdf</t>
  </si>
  <si>
    <t>q-2022-maths-h-p1.pdf</t>
  </si>
  <si>
    <t>q-2022-maths-h-p2.pdf</t>
  </si>
  <si>
    <t>q-2023-maths-h-p1.pdf</t>
  </si>
  <si>
    <t>q-2023-maths-h-p2.pdf</t>
  </si>
  <si>
    <t>q-2024-maths-h-p1.pdf</t>
  </si>
  <si>
    <t>q-2024-maths-h-p2.pdf</t>
  </si>
  <si>
    <t>Paper 1</t>
  </si>
  <si>
    <t>Paper2</t>
  </si>
  <si>
    <t>LC01H</t>
  </si>
  <si>
    <t>m-2020-maths-o.pdf</t>
  </si>
  <si>
    <t>m-2021-maths-o.pdf</t>
  </si>
  <si>
    <t>m-2022-maths-o.pdf</t>
  </si>
  <si>
    <t>m-2023-maths-o.pdf</t>
  </si>
  <si>
    <t>m-2024-maths-o.pdf</t>
  </si>
  <si>
    <t>q-2020-maths-o-p1.pdf</t>
  </si>
  <si>
    <t>q-2020-maths-o-p2.pdf</t>
  </si>
  <si>
    <t>q-2021-maths-o-p1.pdf</t>
  </si>
  <si>
    <t>q-2021-maths-o-p2.pdf</t>
  </si>
  <si>
    <t>q-2022-maths-o-p1.pdf</t>
  </si>
  <si>
    <t>q-2022-maths-o-p2.pdf</t>
  </si>
  <si>
    <t>q-2023-maths-o-p1.pdf</t>
  </si>
  <si>
    <t>q-2023-maths-o-p2.pdf</t>
  </si>
  <si>
    <t>q-2024-maths-o-p1.pdf</t>
  </si>
  <si>
    <t>q-2024-maths-o-p2.pdf</t>
  </si>
  <si>
    <t>LC01O</t>
  </si>
  <si>
    <t>2020-LC01H-S-P1</t>
  </si>
  <si>
    <t>2020-LC01H-S-P2</t>
  </si>
  <si>
    <t>2021-LC01H-S-P1</t>
  </si>
  <si>
    <t>2021-LC01H-S-P2</t>
  </si>
  <si>
    <t>2022-LC01H-S-P1</t>
  </si>
  <si>
    <t>2022-LC01H-S-P2</t>
  </si>
  <si>
    <t>2023-LC01H-S-P1</t>
  </si>
  <si>
    <t>2023-LC01H-S-P2</t>
  </si>
  <si>
    <t>2024-LC01H-S-P1</t>
  </si>
  <si>
    <t>2024-LC01H-S-P2</t>
  </si>
  <si>
    <t>2020-LC01O-S-P1</t>
  </si>
  <si>
    <t>2020-LC01O-S-P2</t>
  </si>
  <si>
    <t>2021-LC01O-S-P1</t>
  </si>
  <si>
    <t>2021-LC01O-S-P2</t>
  </si>
  <si>
    <t>2022-LC01O-S-P1</t>
  </si>
  <si>
    <t>2022-LC01O-S-P2</t>
  </si>
  <si>
    <t>2023-LC01O-S-P1</t>
  </si>
  <si>
    <t>2023-LC01O-S-P2</t>
  </si>
  <si>
    <t>2024-LC01O-S-P1</t>
  </si>
  <si>
    <t>2024-LC01O-S-P2</t>
  </si>
  <si>
    <t>Subject</t>
  </si>
  <si>
    <t>Strands</t>
  </si>
  <si>
    <t>Strand 1: Statistics and Probability</t>
  </si>
  <si>
    <t>Strand 2: Geometry and Trigonometry</t>
  </si>
  <si>
    <t xml:space="preserve">Strand 3: Number </t>
  </si>
  <si>
    <t xml:space="preserve">Strand 4: Algebra </t>
  </si>
  <si>
    <t>Strand 5: Functions</t>
  </si>
  <si>
    <t>https://www.curriculumonline.ie/getmedia/f6f2e822-2b0c-461e-bcd4-dfcde6decc0c/SCSEC25_Maths_syllabus_examination-2015_English.pdf</t>
  </si>
  <si>
    <t>https://www.curriculumonline.ie/getmedia/0cc3a7ac-fd8c-4612-8e4d-81cd82482abc/SCSEC07_Biology_Syllabus_Eng.pdf</t>
  </si>
  <si>
    <t>Biology H</t>
  </si>
  <si>
    <t>Units</t>
  </si>
  <si>
    <t>Study Of Life</t>
  </si>
  <si>
    <t>The Scientific Method</t>
  </si>
  <si>
    <t>The Characteristics of Life</t>
  </si>
  <si>
    <t>Nutrition</t>
  </si>
  <si>
    <t>General Principles of Ecology</t>
  </si>
  <si>
    <t>A Study of an Ecosystem</t>
  </si>
  <si>
    <t>THE CELL</t>
  </si>
  <si>
    <t>Cell Metabolism</t>
  </si>
  <si>
    <t>Cell Continuity</t>
  </si>
  <si>
    <t>Genetics</t>
  </si>
  <si>
    <t>THE ORGANISM</t>
  </si>
  <si>
    <t>Diversity of Organisms</t>
  </si>
  <si>
    <t>Organisation and the Vascular Structures</t>
  </si>
  <si>
    <t>Transport and Nutrition</t>
  </si>
  <si>
    <t>Breathing System and Excretion</t>
  </si>
  <si>
    <t>Responses to Stimuli</t>
  </si>
  <si>
    <t>Reproduction and Growth</t>
  </si>
  <si>
    <t>The Scientific Method and Experiments</t>
  </si>
  <si>
    <t>The Characterstics of Life</t>
  </si>
  <si>
    <t>Ecology Theory</t>
  </si>
  <si>
    <t>Human Impact on an EcoSystem</t>
  </si>
  <si>
    <t>Eco System</t>
  </si>
  <si>
    <t>Enzymes</t>
  </si>
  <si>
    <t>Diffusion and Osmosis</t>
  </si>
  <si>
    <t>Dgenetics</t>
  </si>
  <si>
    <t>Dna and RNA</t>
  </si>
  <si>
    <t>Evolution</t>
  </si>
  <si>
    <t>Genetic Engineering</t>
  </si>
  <si>
    <t>The Five Kingdoms</t>
  </si>
  <si>
    <t>Monera</t>
  </si>
  <si>
    <t>Fungi</t>
  </si>
  <si>
    <t>Amoeba</t>
  </si>
  <si>
    <t>The Structure of Flowering Plants</t>
  </si>
  <si>
    <t>Transport, Storage and Gas Exchange in Flowering Plants</t>
  </si>
  <si>
    <t>Blood</t>
  </si>
  <si>
    <t>The Human Defence System</t>
  </si>
  <si>
    <t>The Heart and Blood Vessels</t>
  </si>
  <si>
    <t>The Lymphatic System</t>
  </si>
  <si>
    <t>Animal Nutrition</t>
  </si>
  <si>
    <t>Homeostasis and Excretion</t>
  </si>
  <si>
    <t>Human Breathing</t>
  </si>
  <si>
    <t>The Nervous System</t>
  </si>
  <si>
    <t>The Senses</t>
  </si>
  <si>
    <t>The Endcrine System</t>
  </si>
  <si>
    <t>Human Reproduction</t>
  </si>
  <si>
    <t>Plan Responses</t>
  </si>
  <si>
    <t>The Skelton and Muscles</t>
  </si>
  <si>
    <t>Viruses</t>
  </si>
  <si>
    <t>Sexual Reproduction in Flowering Plants</t>
  </si>
  <si>
    <t>Vegetative Propagation</t>
  </si>
  <si>
    <t>LC04H01</t>
  </si>
  <si>
    <t>LC04H02</t>
  </si>
  <si>
    <t>LC04H03</t>
  </si>
  <si>
    <t>LC04H04</t>
  </si>
  <si>
    <t>LC04H05</t>
  </si>
  <si>
    <t>LC04H06</t>
  </si>
  <si>
    <t>LC04H07</t>
  </si>
  <si>
    <t>LC04H08</t>
  </si>
  <si>
    <t>LC04H09</t>
  </si>
  <si>
    <t>LC04H10</t>
  </si>
  <si>
    <t>LC04H11</t>
  </si>
  <si>
    <t>LC04H12</t>
  </si>
  <si>
    <t>LC04H13</t>
  </si>
  <si>
    <t>LC04H14</t>
  </si>
  <si>
    <t>LC04H15</t>
  </si>
  <si>
    <t>LC04H16</t>
  </si>
  <si>
    <t>LC04H17</t>
  </si>
  <si>
    <t>LC04H18</t>
  </si>
  <si>
    <t>LC04H19</t>
  </si>
  <si>
    <t>LC04H20</t>
  </si>
  <si>
    <t>LC04H21</t>
  </si>
  <si>
    <t>LC04H22</t>
  </si>
  <si>
    <t>LC04H23</t>
  </si>
  <si>
    <t>LC04H24</t>
  </si>
  <si>
    <t>LC04H25</t>
  </si>
  <si>
    <t>LC04H26</t>
  </si>
  <si>
    <t>LC04H27</t>
  </si>
  <si>
    <t>LC04H28</t>
  </si>
  <si>
    <t>LC04H29</t>
  </si>
  <si>
    <t>LC04H30</t>
  </si>
  <si>
    <t>LC04H31</t>
  </si>
  <si>
    <t>LC04H32</t>
  </si>
  <si>
    <t>LC04H33</t>
  </si>
  <si>
    <t>LC04H34</t>
  </si>
  <si>
    <t>LC04H35</t>
  </si>
  <si>
    <t>LC04H36</t>
  </si>
  <si>
    <t>LC04H37</t>
  </si>
  <si>
    <t>LC04H38</t>
  </si>
  <si>
    <t>LC04H39</t>
  </si>
  <si>
    <t>LC01H01</t>
  </si>
  <si>
    <t>LC01H02</t>
  </si>
  <si>
    <t>LC01H03</t>
  </si>
  <si>
    <t>LC01H04</t>
  </si>
  <si>
    <t>LC01H05</t>
  </si>
  <si>
    <t>LC01H06</t>
  </si>
  <si>
    <t>LC01H07</t>
  </si>
  <si>
    <t>LC01H08</t>
  </si>
  <si>
    <t>Area &amp; Volume</t>
  </si>
  <si>
    <t>Complex Numbers</t>
  </si>
  <si>
    <t>Financial Maths</t>
  </si>
  <si>
    <t>Functions</t>
  </si>
  <si>
    <t>Integration</t>
  </si>
  <si>
    <t>Probability</t>
  </si>
  <si>
    <t>Sequences &amp; Series</t>
  </si>
  <si>
    <t>LC01H09</t>
  </si>
  <si>
    <t>LC01H10</t>
  </si>
  <si>
    <t>LC01H11</t>
  </si>
  <si>
    <t>LC01H12</t>
  </si>
  <si>
    <t>LC01H13</t>
  </si>
  <si>
    <t>LC01H14</t>
  </si>
  <si>
    <t>LC01H15</t>
  </si>
  <si>
    <t>LC01H16</t>
  </si>
  <si>
    <t>LC01H17</t>
  </si>
  <si>
    <t>LC01H18</t>
  </si>
  <si>
    <t>LC01H19</t>
  </si>
  <si>
    <t>LC01H20</t>
  </si>
  <si>
    <t>LC01H21</t>
  </si>
  <si>
    <t>Algebra &amp; Number</t>
  </si>
  <si>
    <t>Algebra – Expressions &amp; Factorising</t>
  </si>
  <si>
    <t>Algebra – Quadratics</t>
  </si>
  <si>
    <t>Algebra – Cubics</t>
  </si>
  <si>
    <t>Algebra – Inequalities</t>
  </si>
  <si>
    <t>Algebra – Solving Equations</t>
  </si>
  <si>
    <t>Algebra – Simultaneous Equations</t>
  </si>
  <si>
    <t>Indices and Logarithms</t>
  </si>
  <si>
    <t>Mathematical Induction</t>
  </si>
  <si>
    <t>Sets &amp; Notation (optional/basic)</t>
  </si>
  <si>
    <t>📉 Functions &amp; Calculus</t>
  </si>
  <si>
    <t>Transformations of Functions (optional)</t>
  </si>
  <si>
    <t>Differentiation – Rules</t>
  </si>
  <si>
    <t>Differentiation – Applications</t>
  </si>
  <si>
    <t>Limits and Continuity (optional)</t>
  </si>
  <si>
    <t>📐 Geometry &amp; Trigonometry</t>
  </si>
  <si>
    <t>Co-Ordinate Geometry – Line</t>
  </si>
  <si>
    <t>Co-Ordinate Geometry – Circle</t>
  </si>
  <si>
    <t>Trigonometry – Triangles</t>
  </si>
  <si>
    <t>Trigonometry – Functions, Graphs &amp; Identities</t>
  </si>
  <si>
    <t>Trigonometry – Radian Measure</t>
  </si>
  <si>
    <t>Geometry – Theorems &amp; Proofs</t>
  </si>
  <si>
    <t>Geometry – Constructions</t>
  </si>
  <si>
    <t>📊 Probability &amp; Statistics</t>
  </si>
  <si>
    <t>Statistics – Descriptive</t>
  </si>
  <si>
    <t>Statistics – Inferential</t>
  </si>
  <si>
    <t>Statistics – Z-Scores / Normal Distribution</t>
  </si>
  <si>
    <t>Chapter_Id</t>
  </si>
  <si>
    <t>Exam_Id</t>
  </si>
  <si>
    <t>Markingscheme</t>
  </si>
  <si>
    <t>Q_Id</t>
  </si>
  <si>
    <t>Question</t>
  </si>
  <si>
    <t>Section</t>
  </si>
  <si>
    <t>A</t>
  </si>
  <si>
    <t>B</t>
  </si>
  <si>
    <t>Q Formula</t>
  </si>
  <si>
    <t>M Formula</t>
  </si>
  <si>
    <t>q1a-2024-LC01H-S-P1</t>
  </si>
  <si>
    <t>m1a-2024-LC01H-S-P1</t>
  </si>
  <si>
    <t>q1b-2024-LC01H-S-P1</t>
  </si>
  <si>
    <t>m1b-2024-LC01H-S-P1</t>
  </si>
  <si>
    <t>q1c-2024-LC01H-S-P1</t>
  </si>
  <si>
    <t>m1c-2024-LC01H-S-P1</t>
  </si>
  <si>
    <t>q3a-2024-LC01H-S-P1</t>
  </si>
  <si>
    <t>m3a-2024-LC01H-S-P1</t>
  </si>
  <si>
    <t>q3b-2024-LC01H-S-P1</t>
  </si>
  <si>
    <t>m3b-2024-LC01H-S-P1</t>
  </si>
  <si>
    <t>q3c-2024-LC01H-S-P1</t>
  </si>
  <si>
    <t>m3c-2024-LC01H-S-P1</t>
  </si>
  <si>
    <t>q4a-2024-LC01H-S-P1</t>
  </si>
  <si>
    <t>m4a-2024-LC01H-S-P1</t>
  </si>
  <si>
    <t>q4b-2024-LC01H-S-P1</t>
  </si>
  <si>
    <t>m4b-2024-LC01H-S-P1</t>
  </si>
  <si>
    <t>q4c-2024-LC01H-S-P1</t>
  </si>
  <si>
    <t>m4c-2024-LC01H-S-P1</t>
  </si>
  <si>
    <t>q5a-2024-LC01H-S-P1</t>
  </si>
  <si>
    <t>m5a-2024-LC01H-S-P1</t>
  </si>
  <si>
    <t>q5b-2024-LC01H-S-P1</t>
  </si>
  <si>
    <t>m5b-2024-LC01H-S-P1</t>
  </si>
  <si>
    <t>q5c-2024-LC01H-S-P1</t>
  </si>
  <si>
    <t>m5c-2024-LC01H-S-P1</t>
  </si>
  <si>
    <t>q6a-2024-LC01H-S-P1</t>
  </si>
  <si>
    <t>m6a-2024-LC01H-S-P1</t>
  </si>
  <si>
    <t>q6b-2024-LC01H-S-P1</t>
  </si>
  <si>
    <t>m6b-2024-LC01H-S-P1</t>
  </si>
  <si>
    <t>q7a-2024-LC01H-S-P1</t>
  </si>
  <si>
    <t>m7a-2024-LC01H-S-P1</t>
  </si>
  <si>
    <t>q7b-2024-LC01H-S-P1</t>
  </si>
  <si>
    <t>m7b-2024-LC01H-S-P1</t>
  </si>
  <si>
    <t>q7c-2024-LC01H-S-P1</t>
  </si>
  <si>
    <t>m7c-2024-LC01H-S-P1</t>
  </si>
  <si>
    <t>q8a-2024-LC01H-S-P1</t>
  </si>
  <si>
    <t>m8a-2024-LC01H-S-P1</t>
  </si>
  <si>
    <t>q8b-2024-LC01H-S-P1</t>
  </si>
  <si>
    <t>m8b-2024-LC01H-S-P1</t>
  </si>
  <si>
    <t>q9d-2024-LC01H-S-P1</t>
  </si>
  <si>
    <t>m9d-2024-LC01H-S-P1</t>
  </si>
  <si>
    <t>q9e-2024-LC01H-S-P1</t>
  </si>
  <si>
    <t>m9e-2024-LC01H-S-P1</t>
  </si>
  <si>
    <t>q10a-2024-LC01H-S-P1</t>
  </si>
  <si>
    <t>m10a-2024-LC01H-S-P1</t>
  </si>
  <si>
    <t>q10b-2024-LC01H-S-P1</t>
  </si>
  <si>
    <t>m10b-2024-LC01H-S-P1</t>
  </si>
  <si>
    <t>q10c-2024-LC01H-S-P1</t>
  </si>
  <si>
    <t>m10c-2024-LC01H-S-P1</t>
  </si>
  <si>
    <t>q10d-2024-LC01H-S-P1</t>
  </si>
  <si>
    <t>m10d-2024-LC01H-S-P1</t>
  </si>
  <si>
    <t>Trigonometry</t>
  </si>
  <si>
    <t>Number-Number systems</t>
  </si>
  <si>
    <t>Number-Indices</t>
  </si>
  <si>
    <t>Number-Arithmetic</t>
  </si>
  <si>
    <t>Number-Length, area and volume</t>
  </si>
  <si>
    <t>Algebra-Expressions</t>
  </si>
  <si>
    <t>Algebra-Solving equations</t>
  </si>
  <si>
    <t>Algebra-Inequalities</t>
  </si>
  <si>
    <t>Algebra-Complex Numbers</t>
  </si>
  <si>
    <t>Functions-Calculus</t>
  </si>
  <si>
    <t>Statistics-Counting</t>
  </si>
  <si>
    <t>Statistics-Probability Concepts</t>
  </si>
  <si>
    <t>Statistics-Outcome of Random Process</t>
  </si>
  <si>
    <t>Probability-Statistical Reasoning</t>
  </si>
  <si>
    <t>Probability-Finding, Collecting and organizing data</t>
  </si>
  <si>
    <t>Probability-Representing data graphically and numarically</t>
  </si>
  <si>
    <t>Probability-Analyzing, interpreting and representing data</t>
  </si>
  <si>
    <t>Geometry-Synthetic geometry</t>
  </si>
  <si>
    <t>Geometry-Co-ordinate geometry</t>
  </si>
  <si>
    <t>Geometry-Transformation geometry, enlargements</t>
  </si>
  <si>
    <t>1a</t>
  </si>
  <si>
    <t>1b</t>
  </si>
  <si>
    <t>1c</t>
  </si>
  <si>
    <t>2a</t>
  </si>
  <si>
    <t>3a</t>
  </si>
  <si>
    <t>3c</t>
  </si>
  <si>
    <t>4a</t>
  </si>
  <si>
    <t>4b</t>
  </si>
  <si>
    <t>4c</t>
  </si>
  <si>
    <t>5a</t>
  </si>
  <si>
    <t>5b</t>
  </si>
  <si>
    <t>6a</t>
  </si>
  <si>
    <t>7a</t>
  </si>
  <si>
    <t>8b</t>
  </si>
  <si>
    <t>8c</t>
  </si>
  <si>
    <t>8d</t>
  </si>
  <si>
    <t>8e</t>
  </si>
  <si>
    <t>9a</t>
  </si>
  <si>
    <t>9c</t>
  </si>
  <si>
    <t>9d</t>
  </si>
  <si>
    <t>9e</t>
  </si>
  <si>
    <t>10b</t>
  </si>
  <si>
    <t>10d</t>
  </si>
  <si>
    <t>3b</t>
  </si>
  <si>
    <t>5c</t>
  </si>
  <si>
    <t>7b</t>
  </si>
  <si>
    <t>7c</t>
  </si>
  <si>
    <t>8a</t>
  </si>
  <si>
    <t>q8c-2024-LC01H-S-P1</t>
  </si>
  <si>
    <t>m8c-2024-LC01H-S-P1</t>
  </si>
  <si>
    <t>q8d-2024-LC01H-S-P1</t>
  </si>
  <si>
    <t>m8d-2024-LC01H-S-P1</t>
  </si>
  <si>
    <t>q8e-2024-LC01H-S-P1</t>
  </si>
  <si>
    <t>m8e-2024-LC01H-S-P1</t>
  </si>
  <si>
    <t>q9a-2024-LC01H-S-P1</t>
  </si>
  <si>
    <t>m9a-2024-LC01H-S-P1</t>
  </si>
  <si>
    <t>q9c-2024-LC01H-S-P1</t>
  </si>
  <si>
    <t>m9c-2024-LC01H-S-P1</t>
  </si>
  <si>
    <t>2c</t>
  </si>
  <si>
    <t>6b</t>
  </si>
  <si>
    <t>6c</t>
  </si>
  <si>
    <t>9b</t>
  </si>
  <si>
    <t>10a</t>
  </si>
  <si>
    <t>10c</t>
  </si>
  <si>
    <t>q2c-2024-LC01H-S-P1</t>
  </si>
  <si>
    <t>m2c-2024-LC01H-S-P1</t>
  </si>
  <si>
    <t>q6c-2024-LC01H-S-P1</t>
  </si>
  <si>
    <t>m6c-2024-LC01H-S-P1</t>
  </si>
  <si>
    <t>q9b-2024-LC01H-S-P1</t>
  </si>
  <si>
    <t>m9b-2024-LC01H-S-P1</t>
  </si>
  <si>
    <t>q2ab-2024-LC01H-S-P1</t>
  </si>
  <si>
    <t>m2a-2024-LC01H-S-P1,m2a-2024-LC01H-S-P1</t>
  </si>
  <si>
    <t>m2a-2024-LC01H-S-P1,m2b-2024-LC01H-S-P1,m2c-2024-LC01H-S-P1</t>
  </si>
  <si>
    <t>q2ab-2024-LC01H-S-P1,q2c-2024-LC01H-S-P1</t>
  </si>
  <si>
    <t>q3ab-2024-LC01H-S-P1,q3c-2024-LC01H-S-P1</t>
  </si>
  <si>
    <t>q4a-2024-LC01H-S-P1,q4bc-2024-LC01H-S-P1</t>
  </si>
  <si>
    <t>q5ab-2024-LC01H-S-P1</t>
  </si>
  <si>
    <t>q6b-2024-LC01H-S-P1,q6c-2024-LC01H-S-P1</t>
  </si>
  <si>
    <t>q7a-2024-LC01H-S-P1,q7b-2024-LC01H-S-P1</t>
  </si>
  <si>
    <t>q7c1-2024-LC01H-S-P1,q7c2-2024-LC01H-S-P1</t>
  </si>
  <si>
    <t>q8a-2024-LC01H-S-P1,q8bc-2024-LC01H-S-P1,q8d-2024-LC01H-S-P1</t>
  </si>
  <si>
    <t>q9abc1-2024-LC01H-S-P1,q9abc2-2024-LC01H-S-P1</t>
  </si>
  <si>
    <t>q10b-2024-LC01H-S-P1,q10c1-2024-LC01H-S-P1,q10c2-2024-LC01H-S-P1</t>
  </si>
  <si>
    <t>m3abc1-2024-LC01H-S-P1,m3abc2-2024-LC01H-S-P1</t>
  </si>
  <si>
    <t>m4abc-2024-LC01H-S-P1</t>
  </si>
  <si>
    <t>m5ab-2024-LC01H-S-P1</t>
  </si>
  <si>
    <t>m6b1-2024-LC01H-S-P1,m6b2-2024-LC01H-S-P1</t>
  </si>
  <si>
    <t>m7ab1-2024-LC01H-S-P1,m7ab2-2024-LC01H-S-P1</t>
  </si>
  <si>
    <t>m7c1-2024-LC01H-S-P1,m7c2-2024-LC01H-S-P1</t>
  </si>
  <si>
    <t>m8abcd1-2024-LC01H-S-P1,m8abcd2-2024-LC01H-S-P1</t>
  </si>
  <si>
    <t>m9abc-2024-LC01H-S-P1</t>
  </si>
  <si>
    <t>m10bc1-2024-LC01H-S-P1,m10bc2-2024-LC01H-S-P1,m10bc3-2024-LC01H-S-P1</t>
  </si>
  <si>
    <t>Paper</t>
  </si>
  <si>
    <t>2019-LC01H-S-P1</t>
  </si>
  <si>
    <t>2019-LC01H-S-P2</t>
  </si>
  <si>
    <t>2019-LC01O-S-P1</t>
  </si>
  <si>
    <t>2019-LC01O-S-P2</t>
  </si>
  <si>
    <t>2018-LC01H-S-P1</t>
  </si>
  <si>
    <t>2018-LC01H-S-P2</t>
  </si>
  <si>
    <t>2018-LC01O-S-P1</t>
  </si>
  <si>
    <t>2018-LC01O-S-P2</t>
  </si>
  <si>
    <t>2017-LC01H-S-P1</t>
  </si>
  <si>
    <t>2017-LC01H-S-P2</t>
  </si>
  <si>
    <t>2017-LC01O-S-P1</t>
  </si>
  <si>
    <t>2017-LC01O-S-P2</t>
  </si>
  <si>
    <t>2016-LC01H-S-P1</t>
  </si>
  <si>
    <t>2016-LC01H-S-P2</t>
  </si>
  <si>
    <t>2016-LC01O-S-P1</t>
  </si>
  <si>
    <t>2016-LC01O-S-P2</t>
  </si>
  <si>
    <t>2015-LC01H-S-P1</t>
  </si>
  <si>
    <t>2015-LC01H-S-P2</t>
  </si>
  <si>
    <t>2015-LC01O-S-P1</t>
  </si>
  <si>
    <t>2015-LC01O-S-P2</t>
  </si>
  <si>
    <t>2014-LC01H-S-P1</t>
  </si>
  <si>
    <t>2014-LC01H-S-P2</t>
  </si>
  <si>
    <t>2014-LC01O-S-P1</t>
  </si>
  <si>
    <t>2014-LC01O-S-P2</t>
  </si>
  <si>
    <t>2013-LC01H-S-P1</t>
  </si>
  <si>
    <t>2013-LC01H-S-P2</t>
  </si>
  <si>
    <t>2013-LC01O-S-P1</t>
  </si>
  <si>
    <t>2013-LC01O-S-P2</t>
  </si>
  <si>
    <t>2012-LC01H-S-P1</t>
  </si>
  <si>
    <t>2012-LC01H-S-P2</t>
  </si>
  <si>
    <t>2012-LC01O-S-P1</t>
  </si>
  <si>
    <t>2012-LC01O-S-P2</t>
  </si>
  <si>
    <t>2011-LC01H-S-P1</t>
  </si>
  <si>
    <t>2011-LC01H-S-P2</t>
  </si>
  <si>
    <t>2011-LC01O-S-P1</t>
  </si>
  <si>
    <t>2011-LC01O-S-P2</t>
  </si>
  <si>
    <t>2010-LC01H-S-P1</t>
  </si>
  <si>
    <t>2010-LC01H-S-P2</t>
  </si>
  <si>
    <t>2010-LC01O-S-P1</t>
  </si>
  <si>
    <t>2010-LC01O-S-P2</t>
  </si>
  <si>
    <t>2009-LC01H-S-P1</t>
  </si>
  <si>
    <t>2009-LC01H-S-P2</t>
  </si>
  <si>
    <t>2009-LC01O-S-P1</t>
  </si>
  <si>
    <t>2009-LC01O-S-P2</t>
  </si>
  <si>
    <t>2008-LC01H-S-P1</t>
  </si>
  <si>
    <t>2008-LC01H-S-P2</t>
  </si>
  <si>
    <t>2008-LC01O-S-P1</t>
  </si>
  <si>
    <t>2008-LC01O-S-P2</t>
  </si>
  <si>
    <t>2007-LC01H-S-P1</t>
  </si>
  <si>
    <t>2007-LC01H-S-P2</t>
  </si>
  <si>
    <t>2007-LC01O-S-P1</t>
  </si>
  <si>
    <t>2007-LC01O-S-P2</t>
  </si>
  <si>
    <t>2006-LC01H-S-P1</t>
  </si>
  <si>
    <t>2006-LC01H-S-P2</t>
  </si>
  <si>
    <t>2006-LC01O-S-P1</t>
  </si>
  <si>
    <t>2006-LC01O-S-P2</t>
  </si>
  <si>
    <t>2005-LC01H-S-P1</t>
  </si>
  <si>
    <t>2005-LC01H-S-P2</t>
  </si>
  <si>
    <t>2005-LC01O-S-P1</t>
  </si>
  <si>
    <t>2005-LC01O-S-P2</t>
  </si>
  <si>
    <t>2004-LC01H-S-P1</t>
  </si>
  <si>
    <t>2004-LC01H-S-P2</t>
  </si>
  <si>
    <t>2004-LC01O-S-P1</t>
  </si>
  <si>
    <t>2004-LC01O-S-P2</t>
  </si>
  <si>
    <t>2003-LC01H-S-P1</t>
  </si>
  <si>
    <t>2003-LC01H-S-P2</t>
  </si>
  <si>
    <t>2003-LC01O-S-P1</t>
  </si>
  <si>
    <t>2003-LC01O-S-P2</t>
  </si>
  <si>
    <t>2002-LC01H-S-P1</t>
  </si>
  <si>
    <t>2002-LC01H-S-P2</t>
  </si>
  <si>
    <t>2002-LC01O-S-P1</t>
  </si>
  <si>
    <t>2002-LC01O-S-P2</t>
  </si>
  <si>
    <t>2001-LC01H-S-P1</t>
  </si>
  <si>
    <t>2001-LC01H-S-P2</t>
  </si>
  <si>
    <t>2001-LC01O-S-P1</t>
  </si>
  <si>
    <t>2001-LC01O-S-P2</t>
  </si>
  <si>
    <t>2000-LC01H-S-P1</t>
  </si>
  <si>
    <t>2000-LC01H-S-P2</t>
  </si>
  <si>
    <t>2000-LC01O-S-P1</t>
  </si>
  <si>
    <t>2000-LC01O-S-P2</t>
  </si>
  <si>
    <t>1999-LC01H-S-P1</t>
  </si>
  <si>
    <t>1999-LC01H-S-P2</t>
  </si>
  <si>
    <t>1999-LC01O-S-P1</t>
  </si>
  <si>
    <t>1999-LC01O-S-P2</t>
  </si>
  <si>
    <t>1998-LC01H-S-P1</t>
  </si>
  <si>
    <t>1998-LC01H-S-P2</t>
  </si>
  <si>
    <t>1998-LC01O-S-P1</t>
  </si>
  <si>
    <t>1998-LC01O-S-P2</t>
  </si>
  <si>
    <t>1997-LC01H-S-P1</t>
  </si>
  <si>
    <t>1997-LC01H-S-P2</t>
  </si>
  <si>
    <t>1997-LC01O-S-P1</t>
  </si>
  <si>
    <t>1997-LC01O-S-P2</t>
  </si>
  <si>
    <t>1996-LC01H-S-P1</t>
  </si>
  <si>
    <t>1996-LC01H-S-P2</t>
  </si>
  <si>
    <t>1996-LC01O-S-P1</t>
  </si>
  <si>
    <t>1996-LC01O-S-P2</t>
  </si>
  <si>
    <t>1995-LC01H-S-P1</t>
  </si>
  <si>
    <t>1995-LC01H-S-P2</t>
  </si>
  <si>
    <t>1995-LC01O-S-P1</t>
  </si>
  <si>
    <t>1995-LC01O-S-P2</t>
  </si>
  <si>
    <t>q-2019-LC01H-S-P1.pdf</t>
  </si>
  <si>
    <t>q-2019-LC01H-S-P2.pdf</t>
  </si>
  <si>
    <t>q-2019-LC01O-S-P1.pdf</t>
  </si>
  <si>
    <t>q-2019-LC01O-S-P2.pdf</t>
  </si>
  <si>
    <t>q-2018-LC01H-S-P1.pdf</t>
  </si>
  <si>
    <t>q-2018-LC01H-S-P2.pdf</t>
  </si>
  <si>
    <t>q-2018-LC01O-S-P1.pdf</t>
  </si>
  <si>
    <t>q-2018-LC01O-S-P2.pdf</t>
  </si>
  <si>
    <t>q-2017-LC01H-S-P1.pdf</t>
  </si>
  <si>
    <t>m-2017-LC01H-S-P1.pdf</t>
  </si>
  <si>
    <t>q-2017-LC01H-S-P2.pdf</t>
  </si>
  <si>
    <t>m-2017-LC01H-S-P2.pdf</t>
  </si>
  <si>
    <t>q-2017-LC01O-S-P1.pdf</t>
  </si>
  <si>
    <t>m-2017-LC01O-S-P1.pdf</t>
  </si>
  <si>
    <t>q-2017-LC01O-S-P2.pdf</t>
  </si>
  <si>
    <t>m-2017-LC01O-S-P2.pdf</t>
  </si>
  <si>
    <t>q-2016-LC01H-S-P1.pdf</t>
  </si>
  <si>
    <t>m-2016-LC01H-S-P1.pdf</t>
  </si>
  <si>
    <t>q-2016-LC01H-S-P2.pdf</t>
  </si>
  <si>
    <t>m-2016-LC01H-S-P2.pdf</t>
  </si>
  <si>
    <t>q-2016-LC01O-S-P1.pdf</t>
  </si>
  <si>
    <t>m-2016-LC01O-S-P1.pdf</t>
  </si>
  <si>
    <t>q-2016-LC01O-S-P2.pdf</t>
  </si>
  <si>
    <t>m-2016-LC01O-S-P2.pdf</t>
  </si>
  <si>
    <t>q-2015-LC01H-S-P1.pdf</t>
  </si>
  <si>
    <t>m-2015-LC01H-S-P1.pdf</t>
  </si>
  <si>
    <t>q-2015-LC01H-S-P2.pdf</t>
  </si>
  <si>
    <t>m-2015-LC01H-S-P2.pdf</t>
  </si>
  <si>
    <t>q-2015-LC01O-S-P1.pdf</t>
  </si>
  <si>
    <t>m-2015-LC01O-S-P1.pdf</t>
  </si>
  <si>
    <t>q-2015-LC01O-S-P2.pdf</t>
  </si>
  <si>
    <t>m-2015-LC01O-S-P2.pdf</t>
  </si>
  <si>
    <t>q-2014-LC01H-S-P1.pdf</t>
  </si>
  <si>
    <t>m-2014-LC01H-S-P1.pdf</t>
  </si>
  <si>
    <t>q-2014-LC01H-S-P2.pdf</t>
  </si>
  <si>
    <t>m-2014-LC01H-S-P2.pdf</t>
  </si>
  <si>
    <t>q-2014-LC01O-S-P1.pdf</t>
  </si>
  <si>
    <t>m-2014-LC01O-S-P1.pdf</t>
  </si>
  <si>
    <t>q-2014-LC01O-S-P2.pdf</t>
  </si>
  <si>
    <t>m-2014-LC01O-S-P2.pdf</t>
  </si>
  <si>
    <t>q-2013-LC01H-S-P1.pdf</t>
  </si>
  <si>
    <t>m-2013-LC01H-S-P1.pdf</t>
  </si>
  <si>
    <t>q-2013-LC01H-S-P2.pdf</t>
  </si>
  <si>
    <t>m-2013-LC01H-S-P2.pdf</t>
  </si>
  <si>
    <t>q-2013-LC01O-S-P1.pdf</t>
  </si>
  <si>
    <t>m-2013-LC01O-S-P1.pdf</t>
  </si>
  <si>
    <t>q-2013-LC01O-S-P2.pdf</t>
  </si>
  <si>
    <t>m-2013-LC01O-S-P2.pdf</t>
  </si>
  <si>
    <t>q-2012-LC01H-S-P1.pdf</t>
  </si>
  <si>
    <t>m-2012-LC01H-S-P1.pdf</t>
  </si>
  <si>
    <t>q-2012-LC01H-S-P2.pdf</t>
  </si>
  <si>
    <t>m-2012-LC01H-S-P2.pdf</t>
  </si>
  <si>
    <t>q-2012-LC01O-S-P1.pdf</t>
  </si>
  <si>
    <t>m-2012-LC01O-S-P1.pdf</t>
  </si>
  <si>
    <t>q-2012-LC01O-S-P2.pdf</t>
  </si>
  <si>
    <t>m-2012-LC01O-S-P2.pdf</t>
  </si>
  <si>
    <t>q-2011-LC01H-S-P1.pdf</t>
  </si>
  <si>
    <t>m-2011-LC01H-S-P1.pdf</t>
  </si>
  <si>
    <t>q-2011-LC01H-S-P2.pdf</t>
  </si>
  <si>
    <t>m-2011-LC01H-S-P2.pdf</t>
  </si>
  <si>
    <t>q-2011-LC01O-S-P1.pdf</t>
  </si>
  <si>
    <t>m-2011-LC01O-S-P1.pdf</t>
  </si>
  <si>
    <t>q-2011-LC01O-S-P2.pdf</t>
  </si>
  <si>
    <t>m-2011-LC01O-S-P2.pdf</t>
  </si>
  <si>
    <t>q-2010-LC01H-S-P1.pdf</t>
  </si>
  <si>
    <t>m-2010-LC01H-S-P1.pdf</t>
  </si>
  <si>
    <t>q-2010-LC01H-S-P2.pdf</t>
  </si>
  <si>
    <t>m-2010-LC01H-S-P2.pdf</t>
  </si>
  <si>
    <t>q-2010-LC01O-S-P1.pdf</t>
  </si>
  <si>
    <t>m-2010-LC01O-S-P1.pdf</t>
  </si>
  <si>
    <t>q-2010-LC01O-S-P2.pdf</t>
  </si>
  <si>
    <t>m-2010-LC01O-S-P2.pdf</t>
  </si>
  <si>
    <t>q-2009-LC01H-S-P1.pdf</t>
  </si>
  <si>
    <t>m-2009-LC01H-S-P1.pdf</t>
  </si>
  <si>
    <t>q-2009-LC01H-S-P2.pdf</t>
  </si>
  <si>
    <t>m-2009-LC01H-S-P2.pdf</t>
  </si>
  <si>
    <t>q-2009-LC01O-S-P1.pdf</t>
  </si>
  <si>
    <t>m-2009-LC01O-S-P1.pdf</t>
  </si>
  <si>
    <t>q-2009-LC01O-S-P2.pdf</t>
  </si>
  <si>
    <t>m-2009-LC01O-S-P2.pdf</t>
  </si>
  <si>
    <t>q-2008-LC01H-S-P1.pdf</t>
  </si>
  <si>
    <t>m-2008-LC01H-S-P1.pdf</t>
  </si>
  <si>
    <t>q-2008-LC01H-S-P2.pdf</t>
  </si>
  <si>
    <t>m-2008-LC01H-S-P2.pdf</t>
  </si>
  <si>
    <t>q-2008-LC01O-S-P1.pdf</t>
  </si>
  <si>
    <t>m-2008-LC01O-S-P1.pdf</t>
  </si>
  <si>
    <t>q-2008-LC01O-S-P2.pdf</t>
  </si>
  <si>
    <t>m-2008-LC01O-S-P2.pdf</t>
  </si>
  <si>
    <t>q-2007-LC01H-S-P1.pdf</t>
  </si>
  <si>
    <t>m-2007-LC01H-S-P1.pdf</t>
  </si>
  <si>
    <t>q-2007-LC01H-S-P2.pdf</t>
  </si>
  <si>
    <t>m-2007-LC01H-S-P2.pdf</t>
  </si>
  <si>
    <t>q-2007-LC01O-S-P1.pdf</t>
  </si>
  <si>
    <t>m-2007-LC01O-S-P1.pdf</t>
  </si>
  <si>
    <t>q-2007-LC01O-S-P2.pdf</t>
  </si>
  <si>
    <t>m-2007-LC01O-S-P2.pdf</t>
  </si>
  <si>
    <t>q-2006-LC01H-S-P1.pdf</t>
  </si>
  <si>
    <t>m-2006-LC01H-S-P1.pdf</t>
  </si>
  <si>
    <t>q-2006-LC01H-S-P2.pdf</t>
  </si>
  <si>
    <t>m-2006-LC01H-S-P2.pdf</t>
  </si>
  <si>
    <t>q-2006-LC01O-S-P1.pdf</t>
  </si>
  <si>
    <t>m-2006-LC01O-S-P1.pdf</t>
  </si>
  <si>
    <t>q-2006-LC01O-S-P2.pdf</t>
  </si>
  <si>
    <t>m-2006-LC01O-S-P2.pdf</t>
  </si>
  <si>
    <t>q-2005-LC01H-S-P1.pdf</t>
  </si>
  <si>
    <t>m-2005-LC01H-S-P1.pdf</t>
  </si>
  <si>
    <t>q-2005-LC01H-S-P2.pdf</t>
  </si>
  <si>
    <t>m-2005-LC01H-S-P2.pdf</t>
  </si>
  <si>
    <t>q-2005-LC01O-S-P1.pdf</t>
  </si>
  <si>
    <t>m-2005-LC01O-S-P1.pdf</t>
  </si>
  <si>
    <t>q-2005-LC01O-S-P2.pdf</t>
  </si>
  <si>
    <t>m-2005-LC01O-S-P2.pdf</t>
  </si>
  <si>
    <t>q-2004-LC01H-S-P1.pdf</t>
  </si>
  <si>
    <t>m-2004-LC01H-S-P1.pdf</t>
  </si>
  <si>
    <t>q-2004-LC01H-S-P2.pdf</t>
  </si>
  <si>
    <t>m-2004-LC01H-S-P2.pdf</t>
  </si>
  <si>
    <t>q-2004-LC01O-S-P1.pdf</t>
  </si>
  <si>
    <t>m-2004-LC01O-S-P1.pdf</t>
  </si>
  <si>
    <t>q-2004-LC01O-S-P2.pdf</t>
  </si>
  <si>
    <t>m-2004-LC01O-S-P2.pdf</t>
  </si>
  <si>
    <t>q-2003-LC01H-S-P1.pdf</t>
  </si>
  <si>
    <t>m-2003-LC01H-S-P1.pdf</t>
  </si>
  <si>
    <t>q-2003-LC01H-S-P2.pdf</t>
  </si>
  <si>
    <t>m-2003-LC01H-S-P2.pdf</t>
  </si>
  <si>
    <t>q-2003-LC01O-S-P1.pdf</t>
  </si>
  <si>
    <t>m-2003-LC01O-S-P1.pdf</t>
  </si>
  <si>
    <t>q-2003-LC01O-S-P2.pdf</t>
  </si>
  <si>
    <t>m-2003-LC01O-S-P2.pdf</t>
  </si>
  <si>
    <t>q-2002-LC01H-S-P1.pdf</t>
  </si>
  <si>
    <t>m-2002-LC01H-S-P1.pdf</t>
  </si>
  <si>
    <t>q-2002-LC01H-S-P2.pdf</t>
  </si>
  <si>
    <t>m-2002-LC01H-S-P2.pdf</t>
  </si>
  <si>
    <t>q-2002-LC01O-S-P1.pdf</t>
  </si>
  <si>
    <t>m-2002-LC01O-S-P1.pdf</t>
  </si>
  <si>
    <t>q-2002-LC01O-S-P2.pdf</t>
  </si>
  <si>
    <t>m-2002-LC01O-S-P2.pdf</t>
  </si>
  <si>
    <t>q-2001-LC01H-S-P1.pdf</t>
  </si>
  <si>
    <t>m-2001-LC01H-S-P1.pdf</t>
  </si>
  <si>
    <t>q-2001-LC01H-S-P2.pdf</t>
  </si>
  <si>
    <t>m-2001-LC01H-S-P2.pdf</t>
  </si>
  <si>
    <t>q-2001-LC01O-S-P1.pdf</t>
  </si>
  <si>
    <t>m-2001-LC01O-S-P1.pdf</t>
  </si>
  <si>
    <t>q-2001-LC01O-S-P2.pdf</t>
  </si>
  <si>
    <t>m-2001-LC01O-S-P2.pdf</t>
  </si>
  <si>
    <t>q-2000-LC01H-S-P1.pdf</t>
  </si>
  <si>
    <t>m-2000-LC01H-S-P1.pdf</t>
  </si>
  <si>
    <t>q-2000-LC01H-S-P2.pdf</t>
  </si>
  <si>
    <t>m-2000-LC01H-S-P2.pdf</t>
  </si>
  <si>
    <t>q-2000-LC01O-S-P1.pdf</t>
  </si>
  <si>
    <t>m-2000-LC01O-S-P1.pdf</t>
  </si>
  <si>
    <t>q-2000-LC01O-S-P2.pdf</t>
  </si>
  <si>
    <t>m-2000-LC01O-S-P2.pdf</t>
  </si>
  <si>
    <t>q-1999-LC01H-S-P1.pdf</t>
  </si>
  <si>
    <t>m-1999-LC01H-S-P1.pdf</t>
  </si>
  <si>
    <t>q-1999-LC01H-S-P2.pdf</t>
  </si>
  <si>
    <t>m-1999-LC01H-S-P2.pdf</t>
  </si>
  <si>
    <t>q-1999-LC01O-S-P1.pdf</t>
  </si>
  <si>
    <t>m-1999-LC01O-S-P1.pdf</t>
  </si>
  <si>
    <t>q-1999-LC01O-S-P2.pdf</t>
  </si>
  <si>
    <t>m-1999-LC01O-S-P2.pdf</t>
  </si>
  <si>
    <t>q-1998-LC01H-S-P1.pdf</t>
  </si>
  <si>
    <t>m-1998-LC01H-S-P1.pdf</t>
  </si>
  <si>
    <t>q-1998-LC01H-S-P2.pdf</t>
  </si>
  <si>
    <t>m-1998-LC01H-S-P2.pdf</t>
  </si>
  <si>
    <t>q-1998-LC01O-S-P1.pdf</t>
  </si>
  <si>
    <t>m-1998-LC01O-S-P1.pdf</t>
  </si>
  <si>
    <t>q-1998-LC01O-S-P2.pdf</t>
  </si>
  <si>
    <t>m-1998-LC01O-S-P2.pdf</t>
  </si>
  <si>
    <t>q-1997-LC01H-S-P1.pdf</t>
  </si>
  <si>
    <t>m-1997-LC01H-S-P1.pdf</t>
  </si>
  <si>
    <t>q-1997-LC01H-S-P2.pdf</t>
  </si>
  <si>
    <t>m-1997-LC01H-S-P2.pdf</t>
  </si>
  <si>
    <t>q-1997-LC01O-S-P1.pdf</t>
  </si>
  <si>
    <t>m-1997-LC01O-S-P1.pdf</t>
  </si>
  <si>
    <t>q-1997-LC01O-S-P2.pdf</t>
  </si>
  <si>
    <t>m-1997-LC01O-S-P2.pdf</t>
  </si>
  <si>
    <t>q-1996-LC01H-S-P1.pdf</t>
  </si>
  <si>
    <t>m-1996-LC01H-S-P1.pdf</t>
  </si>
  <si>
    <t>q-1996-LC01H-S-P2.pdf</t>
  </si>
  <si>
    <t>m-1996-LC01H-S-P2.pdf</t>
  </si>
  <si>
    <t>q-1996-LC01O-S-P1.pdf</t>
  </si>
  <si>
    <t>m-1996-LC01O-S-P1.pdf</t>
  </si>
  <si>
    <t>q-1996-LC01O-S-P2.pdf</t>
  </si>
  <si>
    <t>m-1996-LC01O-S-P2.pdf</t>
  </si>
  <si>
    <t>q-1995-LC01H-S-P1.pdf</t>
  </si>
  <si>
    <t>m-1995-LC01H-S-P1.pdf</t>
  </si>
  <si>
    <t>q-1995-LC01H-S-P2.pdf</t>
  </si>
  <si>
    <t>m-1995-LC01H-S-P2.pdf</t>
  </si>
  <si>
    <t>q-1995-LC01O-S-P1.pdf</t>
  </si>
  <si>
    <t>m-1995-LC01O-S-P1.pdf</t>
  </si>
  <si>
    <t>q-1995-LC01O-S-P2.pdf</t>
  </si>
  <si>
    <t>m-1995-LC01O-S-P2.pdf</t>
  </si>
  <si>
    <t>m-2019-LC01H-S.pdf</t>
  </si>
  <si>
    <t>m-2019-LC01O-S.pdf</t>
  </si>
  <si>
    <t>m-2018-LC01H-S.pdf</t>
  </si>
  <si>
    <t>m-2018-LC01O-S.pdf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</si>
</sst>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20" fontId="0" fillId="0" borderId="0" xfId="0" quotePrefix="1" applyNumberFormat="1"/>
    <xf numFmtId="0" fontId="0" fillId="0" borderId="0" xfId="0" quotePrefix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41725-6BBA-45F1-9359-4753491C3B46}">
  <dimension ref="A1:J61"/>
  <sheetViews>
    <sheetView topLeftCell="A37" workbookViewId="0">
      <selection activeCell="C41" sqref="C41"/>
    </sheetView>
  </sheetViews>
  <sheetFormatPr defaultRowHeight="14.4" x14ac:dyDescent="0.55000000000000004"/>
  <cols>
    <col min="7" max="7" width="18.101562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259</v>
      </c>
      <c r="B2" t="s">
        <v>94</v>
      </c>
      <c r="C2" t="s">
        <v>226</v>
      </c>
    </row>
    <row r="3" spans="1:3" x14ac:dyDescent="0.55000000000000004">
      <c r="A3" t="s">
        <v>260</v>
      </c>
      <c r="B3" t="s">
        <v>94</v>
      </c>
      <c r="C3" t="s">
        <v>227</v>
      </c>
    </row>
    <row r="4" spans="1:3" x14ac:dyDescent="0.55000000000000004">
      <c r="A4" t="s">
        <v>261</v>
      </c>
      <c r="B4" t="s">
        <v>94</v>
      </c>
      <c r="C4" t="s">
        <v>4</v>
      </c>
    </row>
    <row r="5" spans="1:3" x14ac:dyDescent="0.55000000000000004">
      <c r="A5" t="s">
        <v>262</v>
      </c>
      <c r="B5" t="s">
        <v>94</v>
      </c>
      <c r="C5" t="s">
        <v>228</v>
      </c>
    </row>
    <row r="6" spans="1:3" x14ac:dyDescent="0.55000000000000004">
      <c r="A6" t="s">
        <v>263</v>
      </c>
      <c r="B6" t="s">
        <v>94</v>
      </c>
      <c r="C6" t="s">
        <v>229</v>
      </c>
    </row>
    <row r="7" spans="1:3" x14ac:dyDescent="0.55000000000000004">
      <c r="A7" t="s">
        <v>264</v>
      </c>
      <c r="B7" t="s">
        <v>94</v>
      </c>
      <c r="C7" t="s">
        <v>230</v>
      </c>
    </row>
    <row r="8" spans="1:3" x14ac:dyDescent="0.55000000000000004">
      <c r="A8" t="s">
        <v>265</v>
      </c>
      <c r="B8" t="s">
        <v>94</v>
      </c>
      <c r="C8" t="s">
        <v>5</v>
      </c>
    </row>
    <row r="9" spans="1:3" x14ac:dyDescent="0.55000000000000004">
      <c r="A9" t="s">
        <v>266</v>
      </c>
      <c r="B9" t="s">
        <v>94</v>
      </c>
      <c r="C9" t="s">
        <v>6</v>
      </c>
    </row>
    <row r="10" spans="1:3" x14ac:dyDescent="0.55000000000000004">
      <c r="A10" t="s">
        <v>267</v>
      </c>
      <c r="B10" t="s">
        <v>94</v>
      </c>
      <c r="C10" t="s">
        <v>231</v>
      </c>
    </row>
    <row r="11" spans="1:3" x14ac:dyDescent="0.55000000000000004">
      <c r="A11" t="s">
        <v>268</v>
      </c>
      <c r="B11" t="s">
        <v>94</v>
      </c>
      <c r="C11" t="s">
        <v>34</v>
      </c>
    </row>
    <row r="12" spans="1:3" x14ac:dyDescent="0.55000000000000004">
      <c r="A12" t="s">
        <v>269</v>
      </c>
      <c r="B12" t="s">
        <v>94</v>
      </c>
      <c r="C12" t="s">
        <v>33</v>
      </c>
    </row>
    <row r="13" spans="1:3" x14ac:dyDescent="0.55000000000000004">
      <c r="A13" t="s">
        <v>270</v>
      </c>
      <c r="B13" t="s">
        <v>94</v>
      </c>
      <c r="C13" t="s">
        <v>232</v>
      </c>
    </row>
    <row r="14" spans="1:3" x14ac:dyDescent="0.55000000000000004">
      <c r="A14" t="s">
        <v>271</v>
      </c>
      <c r="B14" t="s">
        <v>94</v>
      </c>
      <c r="C14" t="s">
        <v>7</v>
      </c>
    </row>
    <row r="15" spans="1:3" x14ac:dyDescent="0.55000000000000004">
      <c r="A15" t="s">
        <v>272</v>
      </c>
      <c r="B15" t="s">
        <v>94</v>
      </c>
      <c r="C15" t="s">
        <v>233</v>
      </c>
    </row>
    <row r="16" spans="1:3" x14ac:dyDescent="0.55000000000000004">
      <c r="A16" t="s">
        <v>273</v>
      </c>
      <c r="B16" t="s">
        <v>94</v>
      </c>
      <c r="C16" t="s">
        <v>234</v>
      </c>
    </row>
    <row r="17" spans="1:3" x14ac:dyDescent="0.55000000000000004">
      <c r="A17" t="s">
        <v>274</v>
      </c>
      <c r="B17" t="s">
        <v>94</v>
      </c>
      <c r="C17" t="s">
        <v>235</v>
      </c>
    </row>
    <row r="18" spans="1:3" x14ac:dyDescent="0.55000000000000004">
      <c r="A18" t="s">
        <v>275</v>
      </c>
      <c r="B18" t="s">
        <v>94</v>
      </c>
      <c r="C18" t="s">
        <v>236</v>
      </c>
    </row>
    <row r="19" spans="1:3" x14ac:dyDescent="0.55000000000000004">
      <c r="A19" t="s">
        <v>276</v>
      </c>
      <c r="B19" t="s">
        <v>94</v>
      </c>
      <c r="C19" t="s">
        <v>237</v>
      </c>
    </row>
    <row r="20" spans="1:3" x14ac:dyDescent="0.55000000000000004">
      <c r="A20" t="s">
        <v>277</v>
      </c>
      <c r="B20" t="s">
        <v>94</v>
      </c>
      <c r="C20" t="s">
        <v>238</v>
      </c>
    </row>
    <row r="21" spans="1:3" x14ac:dyDescent="0.55000000000000004">
      <c r="A21" t="s">
        <v>278</v>
      </c>
      <c r="B21" t="s">
        <v>94</v>
      </c>
      <c r="C21" t="s">
        <v>239</v>
      </c>
    </row>
    <row r="22" spans="1:3" x14ac:dyDescent="0.55000000000000004">
      <c r="A22" t="s">
        <v>279</v>
      </c>
      <c r="B22" t="s">
        <v>94</v>
      </c>
      <c r="C22" t="s">
        <v>240</v>
      </c>
    </row>
    <row r="23" spans="1:3" x14ac:dyDescent="0.55000000000000004">
      <c r="A23" t="s">
        <v>280</v>
      </c>
      <c r="B23" t="s">
        <v>94</v>
      </c>
      <c r="C23" t="s">
        <v>241</v>
      </c>
    </row>
    <row r="24" spans="1:3" x14ac:dyDescent="0.55000000000000004">
      <c r="A24" t="s">
        <v>281</v>
      </c>
      <c r="B24" t="s">
        <v>94</v>
      </c>
      <c r="C24" t="s">
        <v>242</v>
      </c>
    </row>
    <row r="25" spans="1:3" x14ac:dyDescent="0.55000000000000004">
      <c r="A25" t="s">
        <v>282</v>
      </c>
      <c r="B25" t="s">
        <v>94</v>
      </c>
      <c r="C25" t="s">
        <v>243</v>
      </c>
    </row>
    <row r="26" spans="1:3" x14ac:dyDescent="0.55000000000000004">
      <c r="A26" t="s">
        <v>283</v>
      </c>
      <c r="B26" t="s">
        <v>94</v>
      </c>
      <c r="C26" t="s">
        <v>244</v>
      </c>
    </row>
    <row r="27" spans="1:3" x14ac:dyDescent="0.55000000000000004">
      <c r="A27" t="s">
        <v>284</v>
      </c>
      <c r="B27" t="s">
        <v>94</v>
      </c>
      <c r="C27" t="s">
        <v>245</v>
      </c>
    </row>
    <row r="28" spans="1:3" x14ac:dyDescent="0.55000000000000004">
      <c r="A28" t="s">
        <v>285</v>
      </c>
      <c r="B28" t="s">
        <v>94</v>
      </c>
      <c r="C28" t="s">
        <v>246</v>
      </c>
    </row>
    <row r="29" spans="1:3" x14ac:dyDescent="0.55000000000000004">
      <c r="A29" t="s">
        <v>286</v>
      </c>
      <c r="B29" t="s">
        <v>94</v>
      </c>
      <c r="C29" t="s">
        <v>247</v>
      </c>
    </row>
    <row r="30" spans="1:3" x14ac:dyDescent="0.55000000000000004">
      <c r="A30" t="s">
        <v>287</v>
      </c>
      <c r="B30" t="s">
        <v>94</v>
      </c>
      <c r="C30" t="s">
        <v>248</v>
      </c>
    </row>
    <row r="31" spans="1:3" x14ac:dyDescent="0.55000000000000004">
      <c r="A31" t="s">
        <v>288</v>
      </c>
      <c r="B31" t="s">
        <v>94</v>
      </c>
      <c r="C31" t="s">
        <v>249</v>
      </c>
    </row>
    <row r="32" spans="1:3" x14ac:dyDescent="0.55000000000000004">
      <c r="A32" t="s">
        <v>289</v>
      </c>
      <c r="B32" t="s">
        <v>94</v>
      </c>
      <c r="C32" t="s">
        <v>250</v>
      </c>
    </row>
    <row r="33" spans="1:10" x14ac:dyDescent="0.55000000000000004">
      <c r="A33" t="s">
        <v>290</v>
      </c>
      <c r="B33" t="s">
        <v>94</v>
      </c>
      <c r="C33" t="s">
        <v>251</v>
      </c>
    </row>
    <row r="34" spans="1:10" x14ac:dyDescent="0.55000000000000004">
      <c r="A34" t="s">
        <v>291</v>
      </c>
      <c r="B34" t="s">
        <v>94</v>
      </c>
      <c r="C34" t="s">
        <v>252</v>
      </c>
    </row>
    <row r="35" spans="1:10" x14ac:dyDescent="0.55000000000000004">
      <c r="A35" t="s">
        <v>292</v>
      </c>
      <c r="B35" t="s">
        <v>94</v>
      </c>
      <c r="C35" t="s">
        <v>253</v>
      </c>
    </row>
    <row r="36" spans="1:10" x14ac:dyDescent="0.55000000000000004">
      <c r="A36" t="s">
        <v>293</v>
      </c>
      <c r="B36" t="s">
        <v>94</v>
      </c>
      <c r="C36" t="s">
        <v>254</v>
      </c>
    </row>
    <row r="37" spans="1:10" x14ac:dyDescent="0.55000000000000004">
      <c r="A37" t="s">
        <v>294</v>
      </c>
      <c r="B37" t="s">
        <v>94</v>
      </c>
      <c r="C37" t="s">
        <v>255</v>
      </c>
    </row>
    <row r="38" spans="1:10" x14ac:dyDescent="0.55000000000000004">
      <c r="A38" t="s">
        <v>295</v>
      </c>
      <c r="B38" t="s">
        <v>94</v>
      </c>
      <c r="C38" t="s">
        <v>256</v>
      </c>
      <c r="I38" t="s">
        <v>298</v>
      </c>
      <c r="J38" t="s">
        <v>423</v>
      </c>
    </row>
    <row r="39" spans="1:10" x14ac:dyDescent="0.55000000000000004">
      <c r="A39" t="s">
        <v>296</v>
      </c>
      <c r="B39" t="s">
        <v>94</v>
      </c>
      <c r="C39" t="s">
        <v>257</v>
      </c>
      <c r="I39" t="s">
        <v>299</v>
      </c>
      <c r="J39" t="s">
        <v>424</v>
      </c>
    </row>
    <row r="40" spans="1:10" x14ac:dyDescent="0.55000000000000004">
      <c r="A40" t="s">
        <v>297</v>
      </c>
      <c r="B40" t="s">
        <v>94</v>
      </c>
      <c r="C40" t="s">
        <v>258</v>
      </c>
      <c r="I40" t="s">
        <v>300</v>
      </c>
      <c r="J40" t="s">
        <v>425</v>
      </c>
    </row>
    <row r="41" spans="1:10" x14ac:dyDescent="0.55000000000000004">
      <c r="A41" t="s">
        <v>298</v>
      </c>
      <c r="B41" t="s">
        <v>161</v>
      </c>
      <c r="C41" t="s">
        <v>423</v>
      </c>
      <c r="I41" t="s">
        <v>301</v>
      </c>
      <c r="J41" t="s">
        <v>426</v>
      </c>
    </row>
    <row r="42" spans="1:10" x14ac:dyDescent="0.55000000000000004">
      <c r="A42" t="s">
        <v>299</v>
      </c>
      <c r="B42" t="s">
        <v>161</v>
      </c>
      <c r="C42" t="s">
        <v>424</v>
      </c>
      <c r="I42" t="s">
        <v>302</v>
      </c>
      <c r="J42" t="s">
        <v>427</v>
      </c>
    </row>
    <row r="43" spans="1:10" x14ac:dyDescent="0.55000000000000004">
      <c r="A43" t="s">
        <v>300</v>
      </c>
      <c r="B43" t="s">
        <v>161</v>
      </c>
      <c r="C43" t="s">
        <v>425</v>
      </c>
      <c r="I43" t="s">
        <v>303</v>
      </c>
      <c r="J43" t="s">
        <v>428</v>
      </c>
    </row>
    <row r="44" spans="1:10" x14ac:dyDescent="0.55000000000000004">
      <c r="A44" t="s">
        <v>301</v>
      </c>
      <c r="B44" t="s">
        <v>161</v>
      </c>
      <c r="C44" t="s">
        <v>426</v>
      </c>
      <c r="I44" t="s">
        <v>304</v>
      </c>
      <c r="J44" t="s">
        <v>429</v>
      </c>
    </row>
    <row r="45" spans="1:10" x14ac:dyDescent="0.55000000000000004">
      <c r="A45" t="s">
        <v>302</v>
      </c>
      <c r="B45" t="s">
        <v>161</v>
      </c>
      <c r="C45" t="s">
        <v>427</v>
      </c>
      <c r="I45" t="s">
        <v>305</v>
      </c>
      <c r="J45" t="s">
        <v>430</v>
      </c>
    </row>
    <row r="46" spans="1:10" x14ac:dyDescent="0.55000000000000004">
      <c r="A46" t="s">
        <v>303</v>
      </c>
      <c r="B46" t="s">
        <v>161</v>
      </c>
      <c r="C46" t="s">
        <v>428</v>
      </c>
      <c r="I46" t="s">
        <v>313</v>
      </c>
      <c r="J46" t="s">
        <v>431</v>
      </c>
    </row>
    <row r="47" spans="1:10" x14ac:dyDescent="0.55000000000000004">
      <c r="A47" t="s">
        <v>304</v>
      </c>
      <c r="B47" t="s">
        <v>161</v>
      </c>
      <c r="C47" t="s">
        <v>429</v>
      </c>
      <c r="I47" t="s">
        <v>314</v>
      </c>
      <c r="J47" t="s">
        <v>432</v>
      </c>
    </row>
    <row r="48" spans="1:10" x14ac:dyDescent="0.55000000000000004">
      <c r="A48" t="s">
        <v>305</v>
      </c>
      <c r="B48" t="s">
        <v>161</v>
      </c>
      <c r="C48" t="s">
        <v>430</v>
      </c>
      <c r="I48" t="s">
        <v>315</v>
      </c>
      <c r="J48" t="s">
        <v>413</v>
      </c>
    </row>
    <row r="49" spans="1:10" x14ac:dyDescent="0.55000000000000004">
      <c r="A49" t="s">
        <v>313</v>
      </c>
      <c r="B49" t="s">
        <v>161</v>
      </c>
      <c r="C49" t="s">
        <v>431</v>
      </c>
      <c r="I49" t="s">
        <v>316</v>
      </c>
      <c r="J49" t="s">
        <v>414</v>
      </c>
    </row>
    <row r="50" spans="1:10" x14ac:dyDescent="0.55000000000000004">
      <c r="A50" t="s">
        <v>314</v>
      </c>
      <c r="B50" t="s">
        <v>161</v>
      </c>
      <c r="C50" t="s">
        <v>432</v>
      </c>
      <c r="I50" t="s">
        <v>317</v>
      </c>
      <c r="J50" t="s">
        <v>415</v>
      </c>
    </row>
    <row r="51" spans="1:10" x14ac:dyDescent="0.55000000000000004">
      <c r="A51" t="s">
        <v>315</v>
      </c>
      <c r="B51" t="s">
        <v>161</v>
      </c>
      <c r="C51" t="s">
        <v>413</v>
      </c>
      <c r="I51" t="s">
        <v>318</v>
      </c>
      <c r="J51" t="s">
        <v>416</v>
      </c>
    </row>
    <row r="52" spans="1:10" x14ac:dyDescent="0.55000000000000004">
      <c r="A52" t="s">
        <v>316</v>
      </c>
      <c r="B52" t="s">
        <v>161</v>
      </c>
      <c r="C52" t="s">
        <v>414</v>
      </c>
      <c r="I52" t="s">
        <v>319</v>
      </c>
      <c r="J52" t="s">
        <v>417</v>
      </c>
    </row>
    <row r="53" spans="1:10" x14ac:dyDescent="0.55000000000000004">
      <c r="A53" t="s">
        <v>317</v>
      </c>
      <c r="B53" t="s">
        <v>161</v>
      </c>
      <c r="C53" t="s">
        <v>415</v>
      </c>
      <c r="I53" t="s">
        <v>320</v>
      </c>
      <c r="J53" t="s">
        <v>418</v>
      </c>
    </row>
    <row r="54" spans="1:10" x14ac:dyDescent="0.55000000000000004">
      <c r="A54" t="s">
        <v>318</v>
      </c>
      <c r="B54" t="s">
        <v>161</v>
      </c>
      <c r="C54" t="s">
        <v>416</v>
      </c>
      <c r="I54" t="s">
        <v>321</v>
      </c>
      <c r="J54" t="s">
        <v>419</v>
      </c>
    </row>
    <row r="55" spans="1:10" x14ac:dyDescent="0.55000000000000004">
      <c r="A55" t="s">
        <v>319</v>
      </c>
      <c r="B55" t="s">
        <v>161</v>
      </c>
      <c r="C55" t="s">
        <v>417</v>
      </c>
      <c r="I55" t="s">
        <v>322</v>
      </c>
      <c r="J55" t="s">
        <v>420</v>
      </c>
    </row>
    <row r="56" spans="1:10" x14ac:dyDescent="0.55000000000000004">
      <c r="A56" t="s">
        <v>320</v>
      </c>
      <c r="B56" t="s">
        <v>161</v>
      </c>
      <c r="C56" t="s">
        <v>418</v>
      </c>
      <c r="I56" t="s">
        <v>323</v>
      </c>
      <c r="J56" t="s">
        <v>421</v>
      </c>
    </row>
    <row r="57" spans="1:10" x14ac:dyDescent="0.55000000000000004">
      <c r="A57" t="s">
        <v>321</v>
      </c>
      <c r="B57" t="s">
        <v>161</v>
      </c>
      <c r="C57" t="s">
        <v>419</v>
      </c>
      <c r="I57" t="s">
        <v>324</v>
      </c>
      <c r="J57" t="s">
        <v>309</v>
      </c>
    </row>
    <row r="58" spans="1:10" x14ac:dyDescent="0.55000000000000004">
      <c r="A58" t="s">
        <v>322</v>
      </c>
      <c r="B58" t="s">
        <v>161</v>
      </c>
      <c r="C58" t="s">
        <v>420</v>
      </c>
      <c r="I58" t="s">
        <v>325</v>
      </c>
      <c r="J58" t="s">
        <v>422</v>
      </c>
    </row>
    <row r="59" spans="1:10" x14ac:dyDescent="0.55000000000000004">
      <c r="A59" t="s">
        <v>323</v>
      </c>
      <c r="B59" t="s">
        <v>161</v>
      </c>
      <c r="C59" t="s">
        <v>421</v>
      </c>
    </row>
    <row r="60" spans="1:10" x14ac:dyDescent="0.55000000000000004">
      <c r="A60" t="s">
        <v>324</v>
      </c>
      <c r="B60" t="s">
        <v>161</v>
      </c>
      <c r="C60" t="s">
        <v>309</v>
      </c>
    </row>
    <row r="61" spans="1:10" x14ac:dyDescent="0.55000000000000004">
      <c r="A61" t="s">
        <v>325</v>
      </c>
      <c r="B61" t="s">
        <v>161</v>
      </c>
      <c r="C61" t="s">
        <v>422</v>
      </c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B749-6EDA-4614-B182-051BC8F081B7}">
  <dimension ref="A1:L12"/>
  <sheetViews>
    <sheetView workbookViewId="0">
      <selection activeCell="B2" sqref="B2:B12"/>
    </sheetView>
  </sheetViews>
  <sheetFormatPr defaultRowHeight="14.4" x14ac:dyDescent="0.55000000000000004"/>
  <cols>
    <col min="3" max="3" width="62.26171875" bestFit="1" customWidth="1"/>
    <col min="10" max="10" width="10.89453125" bestFit="1" customWidth="1"/>
    <col min="12" max="12" width="13.7890625" bestFit="1" customWidth="1"/>
  </cols>
  <sheetData>
    <row r="1" spans="1:12" x14ac:dyDescent="0.5500000000000000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1:12" x14ac:dyDescent="0.55000000000000004">
      <c r="A2">
        <v>1</v>
      </c>
      <c r="B2" t="s">
        <v>3</v>
      </c>
      <c r="C2" t="s">
        <v>20</v>
      </c>
      <c r="D2" t="s">
        <v>21</v>
      </c>
      <c r="E2" t="s">
        <v>22</v>
      </c>
      <c r="F2" t="s">
        <v>21</v>
      </c>
      <c r="G2" t="s">
        <v>23</v>
      </c>
      <c r="H2" t="s">
        <v>24</v>
      </c>
      <c r="I2" t="s">
        <v>25</v>
      </c>
      <c r="K2">
        <v>2</v>
      </c>
      <c r="L2">
        <v>1</v>
      </c>
    </row>
    <row r="3" spans="1:12" x14ac:dyDescent="0.55000000000000004">
      <c r="A3">
        <v>2</v>
      </c>
      <c r="B3" t="s">
        <v>3</v>
      </c>
      <c r="C3" t="s">
        <v>26</v>
      </c>
      <c r="D3" t="s">
        <v>27</v>
      </c>
      <c r="E3" t="s">
        <v>27</v>
      </c>
      <c r="F3" t="s">
        <v>28</v>
      </c>
      <c r="G3" t="s">
        <v>29</v>
      </c>
      <c r="H3" t="s">
        <v>30</v>
      </c>
      <c r="I3" s="1" t="s">
        <v>31</v>
      </c>
      <c r="K3">
        <v>2</v>
      </c>
      <c r="L3">
        <v>1</v>
      </c>
    </row>
    <row r="4" spans="1:12" x14ac:dyDescent="0.55000000000000004">
      <c r="A4">
        <v>3</v>
      </c>
      <c r="B4" t="s">
        <v>3</v>
      </c>
      <c r="C4" t="s">
        <v>32</v>
      </c>
      <c r="D4" t="s">
        <v>33</v>
      </c>
      <c r="E4" t="s">
        <v>34</v>
      </c>
      <c r="F4" t="s">
        <v>35</v>
      </c>
      <c r="G4" t="s">
        <v>33</v>
      </c>
      <c r="H4" t="s">
        <v>36</v>
      </c>
      <c r="I4" s="1" t="s">
        <v>37</v>
      </c>
      <c r="K4">
        <v>2</v>
      </c>
      <c r="L4">
        <v>1</v>
      </c>
    </row>
    <row r="5" spans="1:12" x14ac:dyDescent="0.55000000000000004">
      <c r="A5">
        <v>4</v>
      </c>
      <c r="B5" t="s">
        <v>3</v>
      </c>
      <c r="C5" s="1" t="s">
        <v>38</v>
      </c>
      <c r="D5" t="s">
        <v>39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K5">
        <v>2</v>
      </c>
      <c r="L5">
        <v>1</v>
      </c>
    </row>
    <row r="6" spans="1:12" x14ac:dyDescent="0.55000000000000004">
      <c r="A6">
        <v>5</v>
      </c>
      <c r="B6" t="s">
        <v>3</v>
      </c>
      <c r="C6" t="s">
        <v>44</v>
      </c>
      <c r="D6">
        <v>6</v>
      </c>
      <c r="E6">
        <v>3</v>
      </c>
      <c r="F6">
        <v>6</v>
      </c>
      <c r="G6">
        <v>10</v>
      </c>
      <c r="H6">
        <v>8</v>
      </c>
      <c r="I6" t="s">
        <v>45</v>
      </c>
      <c r="K6">
        <v>2</v>
      </c>
      <c r="L6">
        <v>1</v>
      </c>
    </row>
    <row r="7" spans="1:12" x14ac:dyDescent="0.55000000000000004">
      <c r="A7">
        <v>6</v>
      </c>
      <c r="B7" t="s">
        <v>3</v>
      </c>
      <c r="C7" s="1" t="s">
        <v>46</v>
      </c>
      <c r="D7" s="2" t="s">
        <v>47</v>
      </c>
      <c r="E7" s="2" t="s">
        <v>47</v>
      </c>
      <c r="F7" s="3" t="s">
        <v>48</v>
      </c>
      <c r="G7" s="3" t="s">
        <v>49</v>
      </c>
      <c r="H7" s="3" t="s">
        <v>50</v>
      </c>
      <c r="I7" s="4" t="s">
        <v>51</v>
      </c>
      <c r="K7">
        <v>2</v>
      </c>
      <c r="L7">
        <v>1</v>
      </c>
    </row>
    <row r="8" spans="1:12" x14ac:dyDescent="0.55000000000000004">
      <c r="A8">
        <v>7</v>
      </c>
      <c r="B8" t="s">
        <v>3</v>
      </c>
      <c r="C8" s="1" t="s">
        <v>52</v>
      </c>
      <c r="D8" t="s">
        <v>53</v>
      </c>
      <c r="E8" t="s">
        <v>54</v>
      </c>
      <c r="F8" t="s">
        <v>55</v>
      </c>
      <c r="G8" t="s">
        <v>53</v>
      </c>
      <c r="H8" s="5" t="s">
        <v>56</v>
      </c>
      <c r="I8" t="s">
        <v>57</v>
      </c>
      <c r="K8">
        <v>2</v>
      </c>
      <c r="L8">
        <v>1</v>
      </c>
    </row>
    <row r="9" spans="1:12" x14ac:dyDescent="0.55000000000000004">
      <c r="A9">
        <v>8</v>
      </c>
      <c r="B9" t="s">
        <v>3</v>
      </c>
      <c r="C9" s="1" t="s">
        <v>58</v>
      </c>
      <c r="D9" t="s">
        <v>59</v>
      </c>
      <c r="E9" t="s">
        <v>60</v>
      </c>
      <c r="F9" t="s">
        <v>61</v>
      </c>
      <c r="G9" s="4" t="s">
        <v>62</v>
      </c>
      <c r="H9" t="s">
        <v>59</v>
      </c>
      <c r="I9" t="s">
        <v>63</v>
      </c>
      <c r="K9">
        <v>2</v>
      </c>
      <c r="L9">
        <v>1</v>
      </c>
    </row>
    <row r="10" spans="1:12" x14ac:dyDescent="0.55000000000000004">
      <c r="A10">
        <v>9</v>
      </c>
      <c r="B10" t="s">
        <v>3</v>
      </c>
      <c r="C10" s="1" t="s">
        <v>64</v>
      </c>
      <c r="D10" t="s">
        <v>65</v>
      </c>
      <c r="E10" t="s">
        <v>66</v>
      </c>
      <c r="F10" t="s">
        <v>67</v>
      </c>
      <c r="G10" t="s">
        <v>65</v>
      </c>
      <c r="H10" t="s">
        <v>68</v>
      </c>
      <c r="I10" t="s">
        <v>69</v>
      </c>
      <c r="K10">
        <v>2</v>
      </c>
      <c r="L10">
        <v>1</v>
      </c>
    </row>
    <row r="11" spans="1:12" x14ac:dyDescent="0.55000000000000004">
      <c r="A11">
        <v>10</v>
      </c>
      <c r="B11" t="s">
        <v>3</v>
      </c>
      <c r="C11" s="6" t="s">
        <v>70</v>
      </c>
      <c r="D11" t="s">
        <v>71</v>
      </c>
      <c r="E11" t="s">
        <v>71</v>
      </c>
      <c r="F11" t="s">
        <v>72</v>
      </c>
      <c r="G11" t="s">
        <v>73</v>
      </c>
      <c r="H11" t="s">
        <v>74</v>
      </c>
      <c r="I11" s="1" t="s">
        <v>75</v>
      </c>
      <c r="K11">
        <v>2</v>
      </c>
      <c r="L11">
        <v>1</v>
      </c>
    </row>
    <row r="12" spans="1:12" x14ac:dyDescent="0.55000000000000004">
      <c r="A12">
        <v>11</v>
      </c>
      <c r="B12" t="s">
        <v>3</v>
      </c>
      <c r="C12" s="6" t="s">
        <v>76</v>
      </c>
      <c r="D12" t="s">
        <v>77</v>
      </c>
      <c r="E12" t="s">
        <v>78</v>
      </c>
      <c r="F12" t="s">
        <v>77</v>
      </c>
      <c r="G12" t="s">
        <v>79</v>
      </c>
      <c r="H12" t="s">
        <v>80</v>
      </c>
      <c r="I12" s="1" t="s">
        <v>81</v>
      </c>
      <c r="K12">
        <v>2</v>
      </c>
      <c r="L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5B9B-733D-480B-AF90-525D6902B778}">
  <dimension ref="A1:N101"/>
  <sheetViews>
    <sheetView tabSelected="1" workbookViewId="0">
      <selection activeCell="D9" sqref="D2:D9"/>
    </sheetView>
  </sheetViews>
  <sheetFormatPr defaultRowHeight="14.4" x14ac:dyDescent="0.55000000000000004"/>
  <cols>
    <col min="1" max="1" width="14.89453125" bestFit="1" customWidth="1"/>
    <col min="3" max="3" width="23.62890625" bestFit="1" customWidth="1"/>
    <col min="4" max="4" width="17.68359375" bestFit="1" customWidth="1"/>
    <col min="5" max="5" width="9.3671875" bestFit="1" customWidth="1"/>
    <col min="7" max="7" width="11" bestFit="1" customWidth="1"/>
    <col min="12" max="12" width="14.89453125" bestFit="1" customWidth="1"/>
    <col min="13" max="13" width="19.62890625" bestFit="1" customWidth="1"/>
    <col min="14" max="14" width="20.15625" bestFit="1" customWidth="1"/>
  </cols>
  <sheetData>
    <row r="1" spans="1:14" x14ac:dyDescent="0.55000000000000004">
      <c r="A1" t="s">
        <v>89</v>
      </c>
      <c r="B1" t="s">
        <v>88</v>
      </c>
      <c r="C1" t="s">
        <v>90</v>
      </c>
      <c r="D1" t="s">
        <v>91</v>
      </c>
      <c r="E1" t="s">
        <v>92</v>
      </c>
      <c r="F1" t="s">
        <v>93</v>
      </c>
      <c r="G1" t="s">
        <v>95</v>
      </c>
      <c r="L1" t="s">
        <v>89</v>
      </c>
      <c r="M1" t="s">
        <v>90</v>
      </c>
      <c r="N1" t="s">
        <v>91</v>
      </c>
    </row>
    <row r="2" spans="1:14" x14ac:dyDescent="0.55000000000000004">
      <c r="A2" t="s">
        <v>506</v>
      </c>
      <c r="B2">
        <v>2019</v>
      </c>
      <c r="C2" s="1" t="s">
        <v>606</v>
      </c>
      <c r="D2" s="1" t="s">
        <v>798</v>
      </c>
      <c r="E2" t="s">
        <v>100</v>
      </c>
      <c r="F2" t="s">
        <v>161</v>
      </c>
      <c r="G2" t="s">
        <v>159</v>
      </c>
      <c r="H2">
        <v>1</v>
      </c>
      <c r="L2" t="str">
        <f t="shared" ref="L2:L11" si="0">_xlfn.CONCAT(B2,"-",F2,"-S-","P",H2)</f>
        <v>2019-LC01H-S-P1</v>
      </c>
      <c r="M2" t="str">
        <f>_xlfn.CONCAT("q-",$L2,".pdf")</f>
        <v>q-2019-LC01H-S-P1.pdf</v>
      </c>
      <c r="N2" t="str">
        <f>_xlfn.CONCAT("m-",$L2,".pdf")</f>
        <v>m-2019-LC01H-S-P1.pdf</v>
      </c>
    </row>
    <row r="3" spans="1:14" x14ac:dyDescent="0.55000000000000004">
      <c r="A3" t="s">
        <v>507</v>
      </c>
      <c r="B3">
        <v>2019</v>
      </c>
      <c r="C3" s="1" t="s">
        <v>607</v>
      </c>
      <c r="D3" s="1" t="s">
        <v>798</v>
      </c>
      <c r="E3" t="s">
        <v>100</v>
      </c>
      <c r="F3" t="s">
        <v>161</v>
      </c>
      <c r="G3" t="s">
        <v>160</v>
      </c>
      <c r="H3">
        <v>2</v>
      </c>
      <c r="L3" t="str">
        <f t="shared" si="0"/>
        <v>2019-LC01H-S-P2</v>
      </c>
      <c r="M3" t="str">
        <f t="shared" ref="M3:M66" si="1">_xlfn.CONCAT("q-",L3,".pdf")</f>
        <v>q-2019-LC01H-S-P2.pdf</v>
      </c>
      <c r="N3" t="str">
        <f t="shared" ref="N3:N66" si="2">_xlfn.CONCAT("m-",$L3,".pdf")</f>
        <v>m-2019-LC01H-S-P2.pdf</v>
      </c>
    </row>
    <row r="4" spans="1:14" x14ac:dyDescent="0.55000000000000004">
      <c r="A4" t="s">
        <v>508</v>
      </c>
      <c r="B4">
        <v>2019</v>
      </c>
      <c r="C4" s="1" t="s">
        <v>608</v>
      </c>
      <c r="D4" s="1" t="s">
        <v>799</v>
      </c>
      <c r="E4" t="s">
        <v>100</v>
      </c>
      <c r="F4" t="s">
        <v>177</v>
      </c>
      <c r="G4" t="s">
        <v>159</v>
      </c>
      <c r="H4">
        <v>1</v>
      </c>
      <c r="L4" t="str">
        <f t="shared" si="0"/>
        <v>2019-LC01O-S-P1</v>
      </c>
      <c r="M4" t="str">
        <f t="shared" si="1"/>
        <v>q-2019-LC01O-S-P1.pdf</v>
      </c>
      <c r="N4" t="str">
        <f t="shared" si="2"/>
        <v>m-2019-LC01O-S-P1.pdf</v>
      </c>
    </row>
    <row r="5" spans="1:14" x14ac:dyDescent="0.55000000000000004">
      <c r="A5" t="s">
        <v>509</v>
      </c>
      <c r="B5">
        <v>2019</v>
      </c>
      <c r="C5" s="1" t="s">
        <v>609</v>
      </c>
      <c r="D5" s="1" t="s">
        <v>799</v>
      </c>
      <c r="E5" t="s">
        <v>100</v>
      </c>
      <c r="F5" t="s">
        <v>177</v>
      </c>
      <c r="G5" t="s">
        <v>160</v>
      </c>
      <c r="H5">
        <v>2</v>
      </c>
      <c r="L5" t="str">
        <f t="shared" si="0"/>
        <v>2019-LC01O-S-P2</v>
      </c>
      <c r="M5" t="str">
        <f t="shared" si="1"/>
        <v>q-2019-LC01O-S-P2.pdf</v>
      </c>
      <c r="N5" t="str">
        <f t="shared" si="2"/>
        <v>m-2019-LC01O-S-P2.pdf</v>
      </c>
    </row>
    <row r="6" spans="1:14" x14ac:dyDescent="0.55000000000000004">
      <c r="A6" t="s">
        <v>510</v>
      </c>
      <c r="B6">
        <v>2018</v>
      </c>
      <c r="C6" s="1" t="s">
        <v>610</v>
      </c>
      <c r="D6" s="1" t="s">
        <v>800</v>
      </c>
      <c r="E6" t="s">
        <v>100</v>
      </c>
      <c r="F6" t="s">
        <v>161</v>
      </c>
      <c r="G6" t="s">
        <v>159</v>
      </c>
      <c r="H6">
        <v>1</v>
      </c>
      <c r="L6" t="str">
        <f t="shared" si="0"/>
        <v>2018-LC01H-S-P1</v>
      </c>
      <c r="M6" t="str">
        <f t="shared" si="1"/>
        <v>q-2018-LC01H-S-P1.pdf</v>
      </c>
      <c r="N6" t="str">
        <f t="shared" si="2"/>
        <v>m-2018-LC01H-S-P1.pdf</v>
      </c>
    </row>
    <row r="7" spans="1:14" x14ac:dyDescent="0.55000000000000004">
      <c r="A7" t="s">
        <v>511</v>
      </c>
      <c r="B7">
        <v>2018</v>
      </c>
      <c r="C7" s="1" t="s">
        <v>611</v>
      </c>
      <c r="D7" s="1" t="s">
        <v>800</v>
      </c>
      <c r="E7" t="s">
        <v>100</v>
      </c>
      <c r="F7" t="s">
        <v>161</v>
      </c>
      <c r="G7" t="s">
        <v>160</v>
      </c>
      <c r="H7">
        <v>2</v>
      </c>
      <c r="L7" t="str">
        <f t="shared" si="0"/>
        <v>2018-LC01H-S-P2</v>
      </c>
      <c r="M7" t="str">
        <f t="shared" si="1"/>
        <v>q-2018-LC01H-S-P2.pdf</v>
      </c>
      <c r="N7" t="str">
        <f t="shared" si="2"/>
        <v>m-2018-LC01H-S-P2.pdf</v>
      </c>
    </row>
    <row r="8" spans="1:14" x14ac:dyDescent="0.55000000000000004">
      <c r="A8" t="s">
        <v>512</v>
      </c>
      <c r="B8">
        <v>2018</v>
      </c>
      <c r="C8" s="1" t="s">
        <v>612</v>
      </c>
      <c r="D8" s="1" t="s">
        <v>801</v>
      </c>
      <c r="E8" t="s">
        <v>100</v>
      </c>
      <c r="F8" t="s">
        <v>177</v>
      </c>
      <c r="G8" t="s">
        <v>159</v>
      </c>
      <c r="H8">
        <v>1</v>
      </c>
      <c r="L8" t="str">
        <f t="shared" si="0"/>
        <v>2018-LC01O-S-P1</v>
      </c>
      <c r="M8" t="str">
        <f t="shared" si="1"/>
        <v>q-2018-LC01O-S-P1.pdf</v>
      </c>
      <c r="N8" t="str">
        <f t="shared" si="2"/>
        <v>m-2018-LC01O-S-P1.pdf</v>
      </c>
    </row>
    <row r="9" spans="1:14" x14ac:dyDescent="0.55000000000000004">
      <c r="A9" t="s">
        <v>513</v>
      </c>
      <c r="B9">
        <v>2018</v>
      </c>
      <c r="C9" s="1" t="s">
        <v>613</v>
      </c>
      <c r="D9" s="1" t="s">
        <v>801</v>
      </c>
      <c r="E9" t="s">
        <v>100</v>
      </c>
      <c r="F9" t="s">
        <v>177</v>
      </c>
      <c r="G9" t="s">
        <v>160</v>
      </c>
      <c r="H9">
        <v>2</v>
      </c>
      <c r="L9" t="str">
        <f t="shared" si="0"/>
        <v>2018-LC01O-S-P2</v>
      </c>
      <c r="M9" t="str">
        <f t="shared" si="1"/>
        <v>q-2018-LC01O-S-P2.pdf</v>
      </c>
      <c r="N9" t="str">
        <f t="shared" si="2"/>
        <v>m-2018-LC01O-S-P2.pdf</v>
      </c>
    </row>
    <row r="10" spans="1:14" x14ac:dyDescent="0.55000000000000004">
      <c r="A10" t="s">
        <v>514</v>
      </c>
      <c r="B10">
        <v>2017</v>
      </c>
      <c r="C10" t="s">
        <v>614</v>
      </c>
      <c r="D10" t="s">
        <v>615</v>
      </c>
      <c r="E10" t="s">
        <v>100</v>
      </c>
      <c r="F10" t="s">
        <v>161</v>
      </c>
      <c r="G10" t="s">
        <v>159</v>
      </c>
      <c r="H10">
        <v>1</v>
      </c>
      <c r="L10" t="str">
        <f t="shared" si="0"/>
        <v>2017-LC01H-S-P1</v>
      </c>
      <c r="M10" t="str">
        <f t="shared" si="1"/>
        <v>q-2017-LC01H-S-P1.pdf</v>
      </c>
      <c r="N10" t="str">
        <f t="shared" si="2"/>
        <v>m-2017-LC01H-S-P1.pdf</v>
      </c>
    </row>
    <row r="11" spans="1:14" x14ac:dyDescent="0.55000000000000004">
      <c r="A11" t="s">
        <v>515</v>
      </c>
      <c r="B11">
        <v>2017</v>
      </c>
      <c r="C11" t="s">
        <v>616</v>
      </c>
      <c r="D11" t="s">
        <v>617</v>
      </c>
      <c r="E11" t="s">
        <v>100</v>
      </c>
      <c r="F11" t="s">
        <v>161</v>
      </c>
      <c r="G11" t="s">
        <v>160</v>
      </c>
      <c r="H11">
        <v>2</v>
      </c>
      <c r="L11" t="str">
        <f t="shared" si="0"/>
        <v>2017-LC01H-S-P2</v>
      </c>
      <c r="M11" t="str">
        <f t="shared" si="1"/>
        <v>q-2017-LC01H-S-P2.pdf</v>
      </c>
      <c r="N11" t="str">
        <f t="shared" si="2"/>
        <v>m-2017-LC01H-S-P2.pdf</v>
      </c>
    </row>
    <row r="12" spans="1:14" x14ac:dyDescent="0.55000000000000004">
      <c r="A12" t="s">
        <v>516</v>
      </c>
      <c r="B12">
        <v>2017</v>
      </c>
      <c r="C12" t="s">
        <v>618</v>
      </c>
      <c r="D12" t="s">
        <v>619</v>
      </c>
      <c r="E12" t="s">
        <v>100</v>
      </c>
      <c r="F12" t="s">
        <v>177</v>
      </c>
      <c r="G12" t="s">
        <v>159</v>
      </c>
      <c r="H12">
        <v>1</v>
      </c>
      <c r="L12" t="str">
        <f t="shared" ref="L12:L21" si="3">_xlfn.CONCAT(B12,"-",F12,"-S-","P",H12)</f>
        <v>2017-LC01O-S-P1</v>
      </c>
      <c r="M12" t="str">
        <f t="shared" si="1"/>
        <v>q-2017-LC01O-S-P1.pdf</v>
      </c>
      <c r="N12" t="str">
        <f t="shared" si="2"/>
        <v>m-2017-LC01O-S-P1.pdf</v>
      </c>
    </row>
    <row r="13" spans="1:14" x14ac:dyDescent="0.55000000000000004">
      <c r="A13" t="s">
        <v>517</v>
      </c>
      <c r="B13">
        <v>2017</v>
      </c>
      <c r="C13" t="s">
        <v>620</v>
      </c>
      <c r="D13" t="s">
        <v>621</v>
      </c>
      <c r="E13" t="s">
        <v>100</v>
      </c>
      <c r="F13" t="s">
        <v>177</v>
      </c>
      <c r="G13" t="s">
        <v>160</v>
      </c>
      <c r="H13">
        <v>2</v>
      </c>
      <c r="L13" t="str">
        <f t="shared" si="3"/>
        <v>2017-LC01O-S-P2</v>
      </c>
      <c r="M13" t="str">
        <f t="shared" si="1"/>
        <v>q-2017-LC01O-S-P2.pdf</v>
      </c>
      <c r="N13" t="str">
        <f t="shared" si="2"/>
        <v>m-2017-LC01O-S-P2.pdf</v>
      </c>
    </row>
    <row r="14" spans="1:14" x14ac:dyDescent="0.55000000000000004">
      <c r="A14" t="s">
        <v>518</v>
      </c>
      <c r="B14">
        <v>2016</v>
      </c>
      <c r="C14" t="s">
        <v>622</v>
      </c>
      <c r="D14" t="s">
        <v>623</v>
      </c>
      <c r="E14" t="s">
        <v>100</v>
      </c>
      <c r="F14" t="s">
        <v>161</v>
      </c>
      <c r="G14" t="s">
        <v>159</v>
      </c>
      <c r="H14">
        <v>1</v>
      </c>
      <c r="L14" t="str">
        <f t="shared" si="3"/>
        <v>2016-LC01H-S-P1</v>
      </c>
      <c r="M14" t="str">
        <f t="shared" si="1"/>
        <v>q-2016-LC01H-S-P1.pdf</v>
      </c>
      <c r="N14" t="str">
        <f t="shared" si="2"/>
        <v>m-2016-LC01H-S-P1.pdf</v>
      </c>
    </row>
    <row r="15" spans="1:14" x14ac:dyDescent="0.55000000000000004">
      <c r="A15" t="s">
        <v>519</v>
      </c>
      <c r="B15">
        <v>2016</v>
      </c>
      <c r="C15" t="s">
        <v>624</v>
      </c>
      <c r="D15" t="s">
        <v>625</v>
      </c>
      <c r="E15" t="s">
        <v>100</v>
      </c>
      <c r="F15" t="s">
        <v>161</v>
      </c>
      <c r="G15" t="s">
        <v>160</v>
      </c>
      <c r="H15">
        <v>2</v>
      </c>
      <c r="L15" t="str">
        <f t="shared" si="3"/>
        <v>2016-LC01H-S-P2</v>
      </c>
      <c r="M15" t="str">
        <f t="shared" si="1"/>
        <v>q-2016-LC01H-S-P2.pdf</v>
      </c>
      <c r="N15" t="str">
        <f t="shared" si="2"/>
        <v>m-2016-LC01H-S-P2.pdf</v>
      </c>
    </row>
    <row r="16" spans="1:14" x14ac:dyDescent="0.55000000000000004">
      <c r="A16" t="s">
        <v>520</v>
      </c>
      <c r="B16">
        <v>2016</v>
      </c>
      <c r="C16" t="s">
        <v>626</v>
      </c>
      <c r="D16" t="s">
        <v>627</v>
      </c>
      <c r="E16" t="s">
        <v>100</v>
      </c>
      <c r="F16" t="s">
        <v>177</v>
      </c>
      <c r="G16" t="s">
        <v>159</v>
      </c>
      <c r="H16">
        <v>1</v>
      </c>
      <c r="L16" t="str">
        <f t="shared" si="3"/>
        <v>2016-LC01O-S-P1</v>
      </c>
      <c r="M16" t="str">
        <f t="shared" si="1"/>
        <v>q-2016-LC01O-S-P1.pdf</v>
      </c>
      <c r="N16" t="str">
        <f t="shared" si="2"/>
        <v>m-2016-LC01O-S-P1.pdf</v>
      </c>
    </row>
    <row r="17" spans="1:14" x14ac:dyDescent="0.55000000000000004">
      <c r="A17" t="s">
        <v>521</v>
      </c>
      <c r="B17">
        <v>2016</v>
      </c>
      <c r="C17" t="s">
        <v>628</v>
      </c>
      <c r="D17" t="s">
        <v>629</v>
      </c>
      <c r="E17" t="s">
        <v>100</v>
      </c>
      <c r="F17" t="s">
        <v>177</v>
      </c>
      <c r="G17" t="s">
        <v>160</v>
      </c>
      <c r="H17">
        <v>2</v>
      </c>
      <c r="L17" t="str">
        <f t="shared" si="3"/>
        <v>2016-LC01O-S-P2</v>
      </c>
      <c r="M17" t="str">
        <f t="shared" si="1"/>
        <v>q-2016-LC01O-S-P2.pdf</v>
      </c>
      <c r="N17" t="str">
        <f t="shared" si="2"/>
        <v>m-2016-LC01O-S-P2.pdf</v>
      </c>
    </row>
    <row r="18" spans="1:14" x14ac:dyDescent="0.55000000000000004">
      <c r="A18" t="s">
        <v>522</v>
      </c>
      <c r="B18">
        <v>2015</v>
      </c>
      <c r="C18" t="s">
        <v>630</v>
      </c>
      <c r="D18" t="s">
        <v>631</v>
      </c>
      <c r="E18" t="s">
        <v>100</v>
      </c>
      <c r="F18" t="s">
        <v>161</v>
      </c>
      <c r="G18" t="s">
        <v>159</v>
      </c>
      <c r="H18">
        <v>1</v>
      </c>
      <c r="L18" t="str">
        <f t="shared" si="3"/>
        <v>2015-LC01H-S-P1</v>
      </c>
      <c r="M18" t="str">
        <f t="shared" si="1"/>
        <v>q-2015-LC01H-S-P1.pdf</v>
      </c>
      <c r="N18" t="str">
        <f t="shared" si="2"/>
        <v>m-2015-LC01H-S-P1.pdf</v>
      </c>
    </row>
    <row r="19" spans="1:14" x14ac:dyDescent="0.55000000000000004">
      <c r="A19" t="s">
        <v>523</v>
      </c>
      <c r="B19">
        <v>2015</v>
      </c>
      <c r="C19" t="s">
        <v>632</v>
      </c>
      <c r="D19" t="s">
        <v>633</v>
      </c>
      <c r="E19" t="s">
        <v>100</v>
      </c>
      <c r="F19" t="s">
        <v>161</v>
      </c>
      <c r="G19" t="s">
        <v>160</v>
      </c>
      <c r="H19">
        <v>2</v>
      </c>
      <c r="L19" t="str">
        <f t="shared" si="3"/>
        <v>2015-LC01H-S-P2</v>
      </c>
      <c r="M19" t="str">
        <f t="shared" si="1"/>
        <v>q-2015-LC01H-S-P2.pdf</v>
      </c>
      <c r="N19" t="str">
        <f t="shared" si="2"/>
        <v>m-2015-LC01H-S-P2.pdf</v>
      </c>
    </row>
    <row r="20" spans="1:14" x14ac:dyDescent="0.55000000000000004">
      <c r="A20" t="s">
        <v>524</v>
      </c>
      <c r="B20">
        <v>2015</v>
      </c>
      <c r="C20" t="s">
        <v>634</v>
      </c>
      <c r="D20" t="s">
        <v>635</v>
      </c>
      <c r="E20" t="s">
        <v>100</v>
      </c>
      <c r="F20" t="s">
        <v>177</v>
      </c>
      <c r="G20" t="s">
        <v>159</v>
      </c>
      <c r="H20">
        <v>1</v>
      </c>
      <c r="L20" t="str">
        <f t="shared" si="3"/>
        <v>2015-LC01O-S-P1</v>
      </c>
      <c r="M20" t="str">
        <f t="shared" si="1"/>
        <v>q-2015-LC01O-S-P1.pdf</v>
      </c>
      <c r="N20" t="str">
        <f t="shared" si="2"/>
        <v>m-2015-LC01O-S-P1.pdf</v>
      </c>
    </row>
    <row r="21" spans="1:14" x14ac:dyDescent="0.55000000000000004">
      <c r="A21" t="s">
        <v>525</v>
      </c>
      <c r="B21">
        <v>2015</v>
      </c>
      <c r="C21" t="s">
        <v>636</v>
      </c>
      <c r="D21" t="s">
        <v>637</v>
      </c>
      <c r="E21" t="s">
        <v>100</v>
      </c>
      <c r="F21" t="s">
        <v>177</v>
      </c>
      <c r="G21" t="s">
        <v>160</v>
      </c>
      <c r="H21">
        <v>2</v>
      </c>
      <c r="L21" t="str">
        <f t="shared" si="3"/>
        <v>2015-LC01O-S-P2</v>
      </c>
      <c r="M21" t="str">
        <f t="shared" si="1"/>
        <v>q-2015-LC01O-S-P2.pdf</v>
      </c>
      <c r="N21" t="str">
        <f t="shared" si="2"/>
        <v>m-2015-LC01O-S-P2.pdf</v>
      </c>
    </row>
    <row r="22" spans="1:14" x14ac:dyDescent="0.55000000000000004">
      <c r="A22" t="s">
        <v>526</v>
      </c>
      <c r="B22">
        <v>2014</v>
      </c>
      <c r="C22" t="s">
        <v>638</v>
      </c>
      <c r="D22" t="s">
        <v>639</v>
      </c>
      <c r="E22" t="s">
        <v>100</v>
      </c>
      <c r="F22" t="s">
        <v>161</v>
      </c>
      <c r="G22" t="s">
        <v>159</v>
      </c>
      <c r="H22">
        <v>1</v>
      </c>
      <c r="L22" t="str">
        <f t="shared" ref="L22:L85" si="4">_xlfn.CONCAT(B22,"-",F22,"-S-","P",H22)</f>
        <v>2014-LC01H-S-P1</v>
      </c>
      <c r="M22" t="str">
        <f t="shared" si="1"/>
        <v>q-2014-LC01H-S-P1.pdf</v>
      </c>
      <c r="N22" t="str">
        <f t="shared" si="2"/>
        <v>m-2014-LC01H-S-P1.pdf</v>
      </c>
    </row>
    <row r="23" spans="1:14" x14ac:dyDescent="0.55000000000000004">
      <c r="A23" t="s">
        <v>527</v>
      </c>
      <c r="B23">
        <v>2014</v>
      </c>
      <c r="C23" t="s">
        <v>640</v>
      </c>
      <c r="D23" t="s">
        <v>641</v>
      </c>
      <c r="E23" t="s">
        <v>100</v>
      </c>
      <c r="F23" t="s">
        <v>161</v>
      </c>
      <c r="G23" t="s">
        <v>160</v>
      </c>
      <c r="H23">
        <v>2</v>
      </c>
      <c r="L23" t="str">
        <f t="shared" si="4"/>
        <v>2014-LC01H-S-P2</v>
      </c>
      <c r="M23" t="str">
        <f t="shared" si="1"/>
        <v>q-2014-LC01H-S-P2.pdf</v>
      </c>
      <c r="N23" t="str">
        <f t="shared" si="2"/>
        <v>m-2014-LC01H-S-P2.pdf</v>
      </c>
    </row>
    <row r="24" spans="1:14" x14ac:dyDescent="0.55000000000000004">
      <c r="A24" t="s">
        <v>528</v>
      </c>
      <c r="B24">
        <v>2014</v>
      </c>
      <c r="C24" t="s">
        <v>642</v>
      </c>
      <c r="D24" t="s">
        <v>643</v>
      </c>
      <c r="E24" t="s">
        <v>100</v>
      </c>
      <c r="F24" t="s">
        <v>177</v>
      </c>
      <c r="G24" t="s">
        <v>159</v>
      </c>
      <c r="H24">
        <v>1</v>
      </c>
      <c r="L24" t="str">
        <f t="shared" si="4"/>
        <v>2014-LC01O-S-P1</v>
      </c>
      <c r="M24" t="str">
        <f t="shared" si="1"/>
        <v>q-2014-LC01O-S-P1.pdf</v>
      </c>
      <c r="N24" t="str">
        <f t="shared" si="2"/>
        <v>m-2014-LC01O-S-P1.pdf</v>
      </c>
    </row>
    <row r="25" spans="1:14" x14ac:dyDescent="0.55000000000000004">
      <c r="A25" t="s">
        <v>529</v>
      </c>
      <c r="B25">
        <v>2014</v>
      </c>
      <c r="C25" t="s">
        <v>644</v>
      </c>
      <c r="D25" t="s">
        <v>645</v>
      </c>
      <c r="E25" t="s">
        <v>100</v>
      </c>
      <c r="F25" t="s">
        <v>177</v>
      </c>
      <c r="G25" t="s">
        <v>160</v>
      </c>
      <c r="H25">
        <v>2</v>
      </c>
      <c r="L25" t="str">
        <f t="shared" si="4"/>
        <v>2014-LC01O-S-P2</v>
      </c>
      <c r="M25" t="str">
        <f t="shared" si="1"/>
        <v>q-2014-LC01O-S-P2.pdf</v>
      </c>
      <c r="N25" t="str">
        <f t="shared" si="2"/>
        <v>m-2014-LC01O-S-P2.pdf</v>
      </c>
    </row>
    <row r="26" spans="1:14" x14ac:dyDescent="0.55000000000000004">
      <c r="A26" t="s">
        <v>530</v>
      </c>
      <c r="B26">
        <v>2013</v>
      </c>
      <c r="C26" t="s">
        <v>646</v>
      </c>
      <c r="D26" t="s">
        <v>647</v>
      </c>
      <c r="E26" t="s">
        <v>100</v>
      </c>
      <c r="F26" t="s">
        <v>161</v>
      </c>
      <c r="G26" t="s">
        <v>159</v>
      </c>
      <c r="H26">
        <v>1</v>
      </c>
      <c r="L26" t="str">
        <f t="shared" si="4"/>
        <v>2013-LC01H-S-P1</v>
      </c>
      <c r="M26" t="str">
        <f t="shared" si="1"/>
        <v>q-2013-LC01H-S-P1.pdf</v>
      </c>
      <c r="N26" t="str">
        <f t="shared" si="2"/>
        <v>m-2013-LC01H-S-P1.pdf</v>
      </c>
    </row>
    <row r="27" spans="1:14" x14ac:dyDescent="0.55000000000000004">
      <c r="A27" t="s">
        <v>531</v>
      </c>
      <c r="B27">
        <v>2013</v>
      </c>
      <c r="C27" t="s">
        <v>648</v>
      </c>
      <c r="D27" t="s">
        <v>649</v>
      </c>
      <c r="E27" t="s">
        <v>100</v>
      </c>
      <c r="F27" t="s">
        <v>161</v>
      </c>
      <c r="G27" t="s">
        <v>160</v>
      </c>
      <c r="H27">
        <v>2</v>
      </c>
      <c r="L27" t="str">
        <f t="shared" si="4"/>
        <v>2013-LC01H-S-P2</v>
      </c>
      <c r="M27" t="str">
        <f t="shared" si="1"/>
        <v>q-2013-LC01H-S-P2.pdf</v>
      </c>
      <c r="N27" t="str">
        <f t="shared" si="2"/>
        <v>m-2013-LC01H-S-P2.pdf</v>
      </c>
    </row>
    <row r="28" spans="1:14" x14ac:dyDescent="0.55000000000000004">
      <c r="A28" t="s">
        <v>532</v>
      </c>
      <c r="B28">
        <v>2013</v>
      </c>
      <c r="C28" t="s">
        <v>650</v>
      </c>
      <c r="D28" t="s">
        <v>651</v>
      </c>
      <c r="E28" t="s">
        <v>100</v>
      </c>
      <c r="F28" t="s">
        <v>177</v>
      </c>
      <c r="G28" t="s">
        <v>159</v>
      </c>
      <c r="H28">
        <v>1</v>
      </c>
      <c r="L28" t="str">
        <f t="shared" si="4"/>
        <v>2013-LC01O-S-P1</v>
      </c>
      <c r="M28" t="str">
        <f t="shared" si="1"/>
        <v>q-2013-LC01O-S-P1.pdf</v>
      </c>
      <c r="N28" t="str">
        <f t="shared" si="2"/>
        <v>m-2013-LC01O-S-P1.pdf</v>
      </c>
    </row>
    <row r="29" spans="1:14" x14ac:dyDescent="0.55000000000000004">
      <c r="A29" t="s">
        <v>533</v>
      </c>
      <c r="B29">
        <v>2013</v>
      </c>
      <c r="C29" t="s">
        <v>652</v>
      </c>
      <c r="D29" t="s">
        <v>653</v>
      </c>
      <c r="E29" t="s">
        <v>100</v>
      </c>
      <c r="F29" t="s">
        <v>177</v>
      </c>
      <c r="G29" t="s">
        <v>160</v>
      </c>
      <c r="H29">
        <v>2</v>
      </c>
      <c r="L29" t="str">
        <f t="shared" si="4"/>
        <v>2013-LC01O-S-P2</v>
      </c>
      <c r="M29" t="str">
        <f t="shared" si="1"/>
        <v>q-2013-LC01O-S-P2.pdf</v>
      </c>
      <c r="N29" t="str">
        <f t="shared" si="2"/>
        <v>m-2013-LC01O-S-P2.pdf</v>
      </c>
    </row>
    <row r="30" spans="1:14" x14ac:dyDescent="0.55000000000000004">
      <c r="A30" t="s">
        <v>534</v>
      </c>
      <c r="B30">
        <v>2012</v>
      </c>
      <c r="C30" t="s">
        <v>654</v>
      </c>
      <c r="D30" t="s">
        <v>655</v>
      </c>
      <c r="E30" t="s">
        <v>100</v>
      </c>
      <c r="F30" t="s">
        <v>161</v>
      </c>
      <c r="G30" t="s">
        <v>159</v>
      </c>
      <c r="H30">
        <v>1</v>
      </c>
      <c r="L30" t="str">
        <f t="shared" si="4"/>
        <v>2012-LC01H-S-P1</v>
      </c>
      <c r="M30" t="str">
        <f t="shared" si="1"/>
        <v>q-2012-LC01H-S-P1.pdf</v>
      </c>
      <c r="N30" t="str">
        <f t="shared" si="2"/>
        <v>m-2012-LC01H-S-P1.pdf</v>
      </c>
    </row>
    <row r="31" spans="1:14" x14ac:dyDescent="0.55000000000000004">
      <c r="A31" t="s">
        <v>535</v>
      </c>
      <c r="B31">
        <v>2012</v>
      </c>
      <c r="C31" t="s">
        <v>656</v>
      </c>
      <c r="D31" t="s">
        <v>657</v>
      </c>
      <c r="E31" t="s">
        <v>100</v>
      </c>
      <c r="F31" t="s">
        <v>161</v>
      </c>
      <c r="G31" t="s">
        <v>160</v>
      </c>
      <c r="H31">
        <v>2</v>
      </c>
      <c r="L31" t="str">
        <f t="shared" si="4"/>
        <v>2012-LC01H-S-P2</v>
      </c>
      <c r="M31" t="str">
        <f t="shared" si="1"/>
        <v>q-2012-LC01H-S-P2.pdf</v>
      </c>
      <c r="N31" t="str">
        <f t="shared" si="2"/>
        <v>m-2012-LC01H-S-P2.pdf</v>
      </c>
    </row>
    <row r="32" spans="1:14" x14ac:dyDescent="0.55000000000000004">
      <c r="A32" t="s">
        <v>536</v>
      </c>
      <c r="B32">
        <v>2012</v>
      </c>
      <c r="C32" t="s">
        <v>658</v>
      </c>
      <c r="D32" t="s">
        <v>659</v>
      </c>
      <c r="E32" t="s">
        <v>100</v>
      </c>
      <c r="F32" t="s">
        <v>177</v>
      </c>
      <c r="G32" t="s">
        <v>159</v>
      </c>
      <c r="H32">
        <v>1</v>
      </c>
      <c r="L32" t="str">
        <f t="shared" si="4"/>
        <v>2012-LC01O-S-P1</v>
      </c>
      <c r="M32" t="str">
        <f t="shared" si="1"/>
        <v>q-2012-LC01O-S-P1.pdf</v>
      </c>
      <c r="N32" t="str">
        <f t="shared" si="2"/>
        <v>m-2012-LC01O-S-P1.pdf</v>
      </c>
    </row>
    <row r="33" spans="1:14" x14ac:dyDescent="0.55000000000000004">
      <c r="A33" t="s">
        <v>537</v>
      </c>
      <c r="B33">
        <v>2012</v>
      </c>
      <c r="C33" t="s">
        <v>660</v>
      </c>
      <c r="D33" t="s">
        <v>661</v>
      </c>
      <c r="E33" t="s">
        <v>100</v>
      </c>
      <c r="F33" t="s">
        <v>177</v>
      </c>
      <c r="G33" t="s">
        <v>160</v>
      </c>
      <c r="H33">
        <v>2</v>
      </c>
      <c r="L33" t="str">
        <f t="shared" si="4"/>
        <v>2012-LC01O-S-P2</v>
      </c>
      <c r="M33" t="str">
        <f t="shared" si="1"/>
        <v>q-2012-LC01O-S-P2.pdf</v>
      </c>
      <c r="N33" t="str">
        <f t="shared" si="2"/>
        <v>m-2012-LC01O-S-P2.pdf</v>
      </c>
    </row>
    <row r="34" spans="1:14" x14ac:dyDescent="0.55000000000000004">
      <c r="A34" t="s">
        <v>538</v>
      </c>
      <c r="B34">
        <v>2011</v>
      </c>
      <c r="C34" t="s">
        <v>662</v>
      </c>
      <c r="D34" t="s">
        <v>663</v>
      </c>
      <c r="E34" t="s">
        <v>100</v>
      </c>
      <c r="F34" t="s">
        <v>161</v>
      </c>
      <c r="G34" t="s">
        <v>159</v>
      </c>
      <c r="H34">
        <v>1</v>
      </c>
      <c r="L34" t="str">
        <f t="shared" si="4"/>
        <v>2011-LC01H-S-P1</v>
      </c>
      <c r="M34" t="str">
        <f t="shared" si="1"/>
        <v>q-2011-LC01H-S-P1.pdf</v>
      </c>
      <c r="N34" t="str">
        <f t="shared" si="2"/>
        <v>m-2011-LC01H-S-P1.pdf</v>
      </c>
    </row>
    <row r="35" spans="1:14" x14ac:dyDescent="0.55000000000000004">
      <c r="A35" t="s">
        <v>539</v>
      </c>
      <c r="B35">
        <v>2011</v>
      </c>
      <c r="C35" t="s">
        <v>664</v>
      </c>
      <c r="D35" t="s">
        <v>665</v>
      </c>
      <c r="E35" t="s">
        <v>100</v>
      </c>
      <c r="F35" t="s">
        <v>161</v>
      </c>
      <c r="G35" t="s">
        <v>160</v>
      </c>
      <c r="H35">
        <v>2</v>
      </c>
      <c r="L35" t="str">
        <f t="shared" si="4"/>
        <v>2011-LC01H-S-P2</v>
      </c>
      <c r="M35" t="str">
        <f t="shared" si="1"/>
        <v>q-2011-LC01H-S-P2.pdf</v>
      </c>
      <c r="N35" t="str">
        <f t="shared" si="2"/>
        <v>m-2011-LC01H-S-P2.pdf</v>
      </c>
    </row>
    <row r="36" spans="1:14" x14ac:dyDescent="0.55000000000000004">
      <c r="A36" t="s">
        <v>540</v>
      </c>
      <c r="B36">
        <v>2011</v>
      </c>
      <c r="C36" t="s">
        <v>666</v>
      </c>
      <c r="D36" t="s">
        <v>667</v>
      </c>
      <c r="E36" t="s">
        <v>100</v>
      </c>
      <c r="F36" t="s">
        <v>177</v>
      </c>
      <c r="G36" t="s">
        <v>159</v>
      </c>
      <c r="H36">
        <v>1</v>
      </c>
      <c r="L36" t="str">
        <f t="shared" si="4"/>
        <v>2011-LC01O-S-P1</v>
      </c>
      <c r="M36" t="str">
        <f t="shared" si="1"/>
        <v>q-2011-LC01O-S-P1.pdf</v>
      </c>
      <c r="N36" t="str">
        <f t="shared" si="2"/>
        <v>m-2011-LC01O-S-P1.pdf</v>
      </c>
    </row>
    <row r="37" spans="1:14" x14ac:dyDescent="0.55000000000000004">
      <c r="A37" t="s">
        <v>541</v>
      </c>
      <c r="B37">
        <v>2011</v>
      </c>
      <c r="C37" t="s">
        <v>668</v>
      </c>
      <c r="D37" t="s">
        <v>669</v>
      </c>
      <c r="E37" t="s">
        <v>100</v>
      </c>
      <c r="F37" t="s">
        <v>177</v>
      </c>
      <c r="G37" t="s">
        <v>160</v>
      </c>
      <c r="H37">
        <v>2</v>
      </c>
      <c r="L37" t="str">
        <f t="shared" si="4"/>
        <v>2011-LC01O-S-P2</v>
      </c>
      <c r="M37" t="str">
        <f t="shared" si="1"/>
        <v>q-2011-LC01O-S-P2.pdf</v>
      </c>
      <c r="N37" t="str">
        <f t="shared" si="2"/>
        <v>m-2011-LC01O-S-P2.pdf</v>
      </c>
    </row>
    <row r="38" spans="1:14" x14ac:dyDescent="0.55000000000000004">
      <c r="A38" t="s">
        <v>542</v>
      </c>
      <c r="B38">
        <v>2010</v>
      </c>
      <c r="C38" t="s">
        <v>670</v>
      </c>
      <c r="D38" t="s">
        <v>671</v>
      </c>
      <c r="E38" t="s">
        <v>100</v>
      </c>
      <c r="F38" t="s">
        <v>161</v>
      </c>
      <c r="G38" t="s">
        <v>159</v>
      </c>
      <c r="H38">
        <v>1</v>
      </c>
      <c r="L38" t="str">
        <f t="shared" si="4"/>
        <v>2010-LC01H-S-P1</v>
      </c>
      <c r="M38" t="str">
        <f t="shared" si="1"/>
        <v>q-2010-LC01H-S-P1.pdf</v>
      </c>
      <c r="N38" t="str">
        <f t="shared" si="2"/>
        <v>m-2010-LC01H-S-P1.pdf</v>
      </c>
    </row>
    <row r="39" spans="1:14" x14ac:dyDescent="0.55000000000000004">
      <c r="A39" t="s">
        <v>543</v>
      </c>
      <c r="B39">
        <v>2010</v>
      </c>
      <c r="C39" t="s">
        <v>672</v>
      </c>
      <c r="D39" t="s">
        <v>673</v>
      </c>
      <c r="E39" t="s">
        <v>100</v>
      </c>
      <c r="F39" t="s">
        <v>161</v>
      </c>
      <c r="G39" t="s">
        <v>160</v>
      </c>
      <c r="H39">
        <v>2</v>
      </c>
      <c r="L39" t="str">
        <f t="shared" si="4"/>
        <v>2010-LC01H-S-P2</v>
      </c>
      <c r="M39" t="str">
        <f t="shared" si="1"/>
        <v>q-2010-LC01H-S-P2.pdf</v>
      </c>
      <c r="N39" t="str">
        <f t="shared" si="2"/>
        <v>m-2010-LC01H-S-P2.pdf</v>
      </c>
    </row>
    <row r="40" spans="1:14" x14ac:dyDescent="0.55000000000000004">
      <c r="A40" t="s">
        <v>544</v>
      </c>
      <c r="B40">
        <v>2010</v>
      </c>
      <c r="C40" t="s">
        <v>674</v>
      </c>
      <c r="D40" t="s">
        <v>675</v>
      </c>
      <c r="E40" t="s">
        <v>100</v>
      </c>
      <c r="F40" t="s">
        <v>177</v>
      </c>
      <c r="G40" t="s">
        <v>159</v>
      </c>
      <c r="H40">
        <v>1</v>
      </c>
      <c r="L40" t="str">
        <f t="shared" si="4"/>
        <v>2010-LC01O-S-P1</v>
      </c>
      <c r="M40" t="str">
        <f t="shared" si="1"/>
        <v>q-2010-LC01O-S-P1.pdf</v>
      </c>
      <c r="N40" t="str">
        <f t="shared" si="2"/>
        <v>m-2010-LC01O-S-P1.pdf</v>
      </c>
    </row>
    <row r="41" spans="1:14" x14ac:dyDescent="0.55000000000000004">
      <c r="A41" t="s">
        <v>545</v>
      </c>
      <c r="B41">
        <v>2010</v>
      </c>
      <c r="C41" t="s">
        <v>676</v>
      </c>
      <c r="D41" t="s">
        <v>677</v>
      </c>
      <c r="E41" t="s">
        <v>100</v>
      </c>
      <c r="F41" t="s">
        <v>177</v>
      </c>
      <c r="G41" t="s">
        <v>160</v>
      </c>
      <c r="H41">
        <v>2</v>
      </c>
      <c r="L41" t="str">
        <f t="shared" si="4"/>
        <v>2010-LC01O-S-P2</v>
      </c>
      <c r="M41" t="str">
        <f t="shared" si="1"/>
        <v>q-2010-LC01O-S-P2.pdf</v>
      </c>
      <c r="N41" t="str">
        <f t="shared" si="2"/>
        <v>m-2010-LC01O-S-P2.pdf</v>
      </c>
    </row>
    <row r="42" spans="1:14" x14ac:dyDescent="0.55000000000000004">
      <c r="A42" t="s">
        <v>546</v>
      </c>
      <c r="B42">
        <v>2009</v>
      </c>
      <c r="C42" t="s">
        <v>678</v>
      </c>
      <c r="D42" t="s">
        <v>679</v>
      </c>
      <c r="E42" t="s">
        <v>100</v>
      </c>
      <c r="F42" t="s">
        <v>161</v>
      </c>
      <c r="G42" t="s">
        <v>159</v>
      </c>
      <c r="H42">
        <v>1</v>
      </c>
      <c r="L42" t="str">
        <f t="shared" si="4"/>
        <v>2009-LC01H-S-P1</v>
      </c>
      <c r="M42" t="str">
        <f t="shared" si="1"/>
        <v>q-2009-LC01H-S-P1.pdf</v>
      </c>
      <c r="N42" t="str">
        <f t="shared" si="2"/>
        <v>m-2009-LC01H-S-P1.pdf</v>
      </c>
    </row>
    <row r="43" spans="1:14" x14ac:dyDescent="0.55000000000000004">
      <c r="A43" t="s">
        <v>547</v>
      </c>
      <c r="B43">
        <v>2009</v>
      </c>
      <c r="C43" t="s">
        <v>680</v>
      </c>
      <c r="D43" t="s">
        <v>681</v>
      </c>
      <c r="E43" t="s">
        <v>100</v>
      </c>
      <c r="F43" t="s">
        <v>161</v>
      </c>
      <c r="G43" t="s">
        <v>160</v>
      </c>
      <c r="H43">
        <v>2</v>
      </c>
      <c r="L43" t="str">
        <f t="shared" si="4"/>
        <v>2009-LC01H-S-P2</v>
      </c>
      <c r="M43" t="str">
        <f t="shared" si="1"/>
        <v>q-2009-LC01H-S-P2.pdf</v>
      </c>
      <c r="N43" t="str">
        <f t="shared" si="2"/>
        <v>m-2009-LC01H-S-P2.pdf</v>
      </c>
    </row>
    <row r="44" spans="1:14" x14ac:dyDescent="0.55000000000000004">
      <c r="A44" t="s">
        <v>548</v>
      </c>
      <c r="B44">
        <v>2009</v>
      </c>
      <c r="C44" t="s">
        <v>682</v>
      </c>
      <c r="D44" t="s">
        <v>683</v>
      </c>
      <c r="E44" t="s">
        <v>100</v>
      </c>
      <c r="F44" t="s">
        <v>177</v>
      </c>
      <c r="G44" t="s">
        <v>159</v>
      </c>
      <c r="H44">
        <v>1</v>
      </c>
      <c r="L44" t="str">
        <f t="shared" si="4"/>
        <v>2009-LC01O-S-P1</v>
      </c>
      <c r="M44" t="str">
        <f t="shared" si="1"/>
        <v>q-2009-LC01O-S-P1.pdf</v>
      </c>
      <c r="N44" t="str">
        <f t="shared" si="2"/>
        <v>m-2009-LC01O-S-P1.pdf</v>
      </c>
    </row>
    <row r="45" spans="1:14" x14ac:dyDescent="0.55000000000000004">
      <c r="A45" t="s">
        <v>549</v>
      </c>
      <c r="B45">
        <v>2009</v>
      </c>
      <c r="C45" t="s">
        <v>684</v>
      </c>
      <c r="D45" t="s">
        <v>685</v>
      </c>
      <c r="E45" t="s">
        <v>100</v>
      </c>
      <c r="F45" t="s">
        <v>177</v>
      </c>
      <c r="G45" t="s">
        <v>160</v>
      </c>
      <c r="H45">
        <v>2</v>
      </c>
      <c r="L45" t="str">
        <f t="shared" si="4"/>
        <v>2009-LC01O-S-P2</v>
      </c>
      <c r="M45" t="str">
        <f t="shared" si="1"/>
        <v>q-2009-LC01O-S-P2.pdf</v>
      </c>
      <c r="N45" t="str">
        <f t="shared" si="2"/>
        <v>m-2009-LC01O-S-P2.pdf</v>
      </c>
    </row>
    <row r="46" spans="1:14" x14ac:dyDescent="0.55000000000000004">
      <c r="A46" t="s">
        <v>550</v>
      </c>
      <c r="B46">
        <v>2008</v>
      </c>
      <c r="C46" t="s">
        <v>686</v>
      </c>
      <c r="D46" t="s">
        <v>687</v>
      </c>
      <c r="E46" t="s">
        <v>100</v>
      </c>
      <c r="F46" t="s">
        <v>161</v>
      </c>
      <c r="G46" t="s">
        <v>159</v>
      </c>
      <c r="H46">
        <v>1</v>
      </c>
      <c r="L46" t="str">
        <f t="shared" si="4"/>
        <v>2008-LC01H-S-P1</v>
      </c>
      <c r="M46" t="str">
        <f t="shared" si="1"/>
        <v>q-2008-LC01H-S-P1.pdf</v>
      </c>
      <c r="N46" t="str">
        <f t="shared" si="2"/>
        <v>m-2008-LC01H-S-P1.pdf</v>
      </c>
    </row>
    <row r="47" spans="1:14" x14ac:dyDescent="0.55000000000000004">
      <c r="A47" t="s">
        <v>551</v>
      </c>
      <c r="B47">
        <v>2008</v>
      </c>
      <c r="C47" t="s">
        <v>688</v>
      </c>
      <c r="D47" t="s">
        <v>689</v>
      </c>
      <c r="E47" t="s">
        <v>100</v>
      </c>
      <c r="F47" t="s">
        <v>161</v>
      </c>
      <c r="G47" t="s">
        <v>160</v>
      </c>
      <c r="H47">
        <v>2</v>
      </c>
      <c r="L47" t="str">
        <f t="shared" si="4"/>
        <v>2008-LC01H-S-P2</v>
      </c>
      <c r="M47" t="str">
        <f t="shared" si="1"/>
        <v>q-2008-LC01H-S-P2.pdf</v>
      </c>
      <c r="N47" t="str">
        <f t="shared" si="2"/>
        <v>m-2008-LC01H-S-P2.pdf</v>
      </c>
    </row>
    <row r="48" spans="1:14" x14ac:dyDescent="0.55000000000000004">
      <c r="A48" t="s">
        <v>552</v>
      </c>
      <c r="B48">
        <v>2008</v>
      </c>
      <c r="C48" t="s">
        <v>690</v>
      </c>
      <c r="D48" t="s">
        <v>691</v>
      </c>
      <c r="E48" t="s">
        <v>100</v>
      </c>
      <c r="F48" t="s">
        <v>177</v>
      </c>
      <c r="G48" t="s">
        <v>159</v>
      </c>
      <c r="H48">
        <v>1</v>
      </c>
      <c r="L48" t="str">
        <f t="shared" si="4"/>
        <v>2008-LC01O-S-P1</v>
      </c>
      <c r="M48" t="str">
        <f t="shared" si="1"/>
        <v>q-2008-LC01O-S-P1.pdf</v>
      </c>
      <c r="N48" t="str">
        <f t="shared" si="2"/>
        <v>m-2008-LC01O-S-P1.pdf</v>
      </c>
    </row>
    <row r="49" spans="1:14" x14ac:dyDescent="0.55000000000000004">
      <c r="A49" t="s">
        <v>553</v>
      </c>
      <c r="B49">
        <v>2008</v>
      </c>
      <c r="C49" t="s">
        <v>692</v>
      </c>
      <c r="D49" t="s">
        <v>693</v>
      </c>
      <c r="E49" t="s">
        <v>100</v>
      </c>
      <c r="F49" t="s">
        <v>177</v>
      </c>
      <c r="G49" t="s">
        <v>160</v>
      </c>
      <c r="H49">
        <v>2</v>
      </c>
      <c r="L49" t="str">
        <f t="shared" si="4"/>
        <v>2008-LC01O-S-P2</v>
      </c>
      <c r="M49" t="str">
        <f t="shared" si="1"/>
        <v>q-2008-LC01O-S-P2.pdf</v>
      </c>
      <c r="N49" t="str">
        <f t="shared" si="2"/>
        <v>m-2008-LC01O-S-P2.pdf</v>
      </c>
    </row>
    <row r="50" spans="1:14" x14ac:dyDescent="0.55000000000000004">
      <c r="A50" t="s">
        <v>554</v>
      </c>
      <c r="B50">
        <v>2007</v>
      </c>
      <c r="C50" t="s">
        <v>694</v>
      </c>
      <c r="D50" t="s">
        <v>695</v>
      </c>
      <c r="E50" t="s">
        <v>100</v>
      </c>
      <c r="F50" t="s">
        <v>161</v>
      </c>
      <c r="G50" t="s">
        <v>159</v>
      </c>
      <c r="H50">
        <v>1</v>
      </c>
      <c r="L50" t="str">
        <f t="shared" si="4"/>
        <v>2007-LC01H-S-P1</v>
      </c>
      <c r="M50" t="str">
        <f t="shared" si="1"/>
        <v>q-2007-LC01H-S-P1.pdf</v>
      </c>
      <c r="N50" t="str">
        <f t="shared" si="2"/>
        <v>m-2007-LC01H-S-P1.pdf</v>
      </c>
    </row>
    <row r="51" spans="1:14" x14ac:dyDescent="0.55000000000000004">
      <c r="A51" t="s">
        <v>555</v>
      </c>
      <c r="B51">
        <v>2007</v>
      </c>
      <c r="C51" t="s">
        <v>696</v>
      </c>
      <c r="D51" t="s">
        <v>697</v>
      </c>
      <c r="E51" t="s">
        <v>100</v>
      </c>
      <c r="F51" t="s">
        <v>161</v>
      </c>
      <c r="G51" t="s">
        <v>160</v>
      </c>
      <c r="H51">
        <v>2</v>
      </c>
      <c r="L51" t="str">
        <f t="shared" si="4"/>
        <v>2007-LC01H-S-P2</v>
      </c>
      <c r="M51" t="str">
        <f t="shared" si="1"/>
        <v>q-2007-LC01H-S-P2.pdf</v>
      </c>
      <c r="N51" t="str">
        <f t="shared" si="2"/>
        <v>m-2007-LC01H-S-P2.pdf</v>
      </c>
    </row>
    <row r="52" spans="1:14" x14ac:dyDescent="0.55000000000000004">
      <c r="A52" t="s">
        <v>556</v>
      </c>
      <c r="B52">
        <v>2007</v>
      </c>
      <c r="C52" t="s">
        <v>698</v>
      </c>
      <c r="D52" t="s">
        <v>699</v>
      </c>
      <c r="E52" t="s">
        <v>100</v>
      </c>
      <c r="F52" t="s">
        <v>177</v>
      </c>
      <c r="G52" t="s">
        <v>159</v>
      </c>
      <c r="H52">
        <v>1</v>
      </c>
      <c r="L52" t="str">
        <f t="shared" si="4"/>
        <v>2007-LC01O-S-P1</v>
      </c>
      <c r="M52" t="str">
        <f t="shared" si="1"/>
        <v>q-2007-LC01O-S-P1.pdf</v>
      </c>
      <c r="N52" t="str">
        <f t="shared" si="2"/>
        <v>m-2007-LC01O-S-P1.pdf</v>
      </c>
    </row>
    <row r="53" spans="1:14" x14ac:dyDescent="0.55000000000000004">
      <c r="A53" t="s">
        <v>557</v>
      </c>
      <c r="B53">
        <v>2007</v>
      </c>
      <c r="C53" t="s">
        <v>700</v>
      </c>
      <c r="D53" t="s">
        <v>701</v>
      </c>
      <c r="E53" t="s">
        <v>100</v>
      </c>
      <c r="F53" t="s">
        <v>177</v>
      </c>
      <c r="G53" t="s">
        <v>160</v>
      </c>
      <c r="H53">
        <v>2</v>
      </c>
      <c r="L53" t="str">
        <f t="shared" si="4"/>
        <v>2007-LC01O-S-P2</v>
      </c>
      <c r="M53" t="str">
        <f t="shared" si="1"/>
        <v>q-2007-LC01O-S-P2.pdf</v>
      </c>
      <c r="N53" t="str">
        <f t="shared" si="2"/>
        <v>m-2007-LC01O-S-P2.pdf</v>
      </c>
    </row>
    <row r="54" spans="1:14" x14ac:dyDescent="0.55000000000000004">
      <c r="A54" t="s">
        <v>558</v>
      </c>
      <c r="B54">
        <v>2006</v>
      </c>
      <c r="C54" t="s">
        <v>702</v>
      </c>
      <c r="D54" t="s">
        <v>703</v>
      </c>
      <c r="E54" t="s">
        <v>100</v>
      </c>
      <c r="F54" t="s">
        <v>161</v>
      </c>
      <c r="G54" t="s">
        <v>159</v>
      </c>
      <c r="H54">
        <v>1</v>
      </c>
      <c r="L54" t="str">
        <f t="shared" si="4"/>
        <v>2006-LC01H-S-P1</v>
      </c>
      <c r="M54" t="str">
        <f t="shared" si="1"/>
        <v>q-2006-LC01H-S-P1.pdf</v>
      </c>
      <c r="N54" t="str">
        <f t="shared" si="2"/>
        <v>m-2006-LC01H-S-P1.pdf</v>
      </c>
    </row>
    <row r="55" spans="1:14" x14ac:dyDescent="0.55000000000000004">
      <c r="A55" t="s">
        <v>559</v>
      </c>
      <c r="B55">
        <v>2006</v>
      </c>
      <c r="C55" t="s">
        <v>704</v>
      </c>
      <c r="D55" t="s">
        <v>705</v>
      </c>
      <c r="E55" t="s">
        <v>100</v>
      </c>
      <c r="F55" t="s">
        <v>161</v>
      </c>
      <c r="G55" t="s">
        <v>160</v>
      </c>
      <c r="H55">
        <v>2</v>
      </c>
      <c r="L55" t="str">
        <f t="shared" si="4"/>
        <v>2006-LC01H-S-P2</v>
      </c>
      <c r="M55" t="str">
        <f t="shared" si="1"/>
        <v>q-2006-LC01H-S-P2.pdf</v>
      </c>
      <c r="N55" t="str">
        <f t="shared" si="2"/>
        <v>m-2006-LC01H-S-P2.pdf</v>
      </c>
    </row>
    <row r="56" spans="1:14" x14ac:dyDescent="0.55000000000000004">
      <c r="A56" t="s">
        <v>560</v>
      </c>
      <c r="B56">
        <v>2006</v>
      </c>
      <c r="C56" t="s">
        <v>706</v>
      </c>
      <c r="D56" t="s">
        <v>707</v>
      </c>
      <c r="E56" t="s">
        <v>100</v>
      </c>
      <c r="F56" t="s">
        <v>177</v>
      </c>
      <c r="G56" t="s">
        <v>159</v>
      </c>
      <c r="H56">
        <v>1</v>
      </c>
      <c r="L56" t="str">
        <f t="shared" si="4"/>
        <v>2006-LC01O-S-P1</v>
      </c>
      <c r="M56" t="str">
        <f t="shared" si="1"/>
        <v>q-2006-LC01O-S-P1.pdf</v>
      </c>
      <c r="N56" t="str">
        <f t="shared" si="2"/>
        <v>m-2006-LC01O-S-P1.pdf</v>
      </c>
    </row>
    <row r="57" spans="1:14" x14ac:dyDescent="0.55000000000000004">
      <c r="A57" t="s">
        <v>561</v>
      </c>
      <c r="B57">
        <v>2006</v>
      </c>
      <c r="C57" t="s">
        <v>708</v>
      </c>
      <c r="D57" t="s">
        <v>709</v>
      </c>
      <c r="E57" t="s">
        <v>100</v>
      </c>
      <c r="F57" t="s">
        <v>177</v>
      </c>
      <c r="G57" t="s">
        <v>160</v>
      </c>
      <c r="H57">
        <v>2</v>
      </c>
      <c r="L57" t="str">
        <f t="shared" si="4"/>
        <v>2006-LC01O-S-P2</v>
      </c>
      <c r="M57" t="str">
        <f t="shared" si="1"/>
        <v>q-2006-LC01O-S-P2.pdf</v>
      </c>
      <c r="N57" t="str">
        <f t="shared" si="2"/>
        <v>m-2006-LC01O-S-P2.pdf</v>
      </c>
    </row>
    <row r="58" spans="1:14" x14ac:dyDescent="0.55000000000000004">
      <c r="A58" t="s">
        <v>562</v>
      </c>
      <c r="B58">
        <v>2005</v>
      </c>
      <c r="C58" t="s">
        <v>710</v>
      </c>
      <c r="D58" t="s">
        <v>711</v>
      </c>
      <c r="E58" t="s">
        <v>100</v>
      </c>
      <c r="F58" t="s">
        <v>161</v>
      </c>
      <c r="G58" t="s">
        <v>159</v>
      </c>
      <c r="H58">
        <v>1</v>
      </c>
      <c r="L58" t="str">
        <f t="shared" si="4"/>
        <v>2005-LC01H-S-P1</v>
      </c>
      <c r="M58" t="str">
        <f t="shared" si="1"/>
        <v>q-2005-LC01H-S-P1.pdf</v>
      </c>
      <c r="N58" t="str">
        <f t="shared" si="2"/>
        <v>m-2005-LC01H-S-P1.pdf</v>
      </c>
    </row>
    <row r="59" spans="1:14" x14ac:dyDescent="0.55000000000000004">
      <c r="A59" t="s">
        <v>563</v>
      </c>
      <c r="B59">
        <v>2005</v>
      </c>
      <c r="C59" t="s">
        <v>712</v>
      </c>
      <c r="D59" t="s">
        <v>713</v>
      </c>
      <c r="E59" t="s">
        <v>100</v>
      </c>
      <c r="F59" t="s">
        <v>161</v>
      </c>
      <c r="G59" t="s">
        <v>160</v>
      </c>
      <c r="H59">
        <v>2</v>
      </c>
      <c r="L59" t="str">
        <f t="shared" si="4"/>
        <v>2005-LC01H-S-P2</v>
      </c>
      <c r="M59" t="str">
        <f t="shared" si="1"/>
        <v>q-2005-LC01H-S-P2.pdf</v>
      </c>
      <c r="N59" t="str">
        <f t="shared" si="2"/>
        <v>m-2005-LC01H-S-P2.pdf</v>
      </c>
    </row>
    <row r="60" spans="1:14" x14ac:dyDescent="0.55000000000000004">
      <c r="A60" t="s">
        <v>564</v>
      </c>
      <c r="B60">
        <v>2005</v>
      </c>
      <c r="C60" t="s">
        <v>714</v>
      </c>
      <c r="D60" t="s">
        <v>715</v>
      </c>
      <c r="E60" t="s">
        <v>100</v>
      </c>
      <c r="F60" t="s">
        <v>177</v>
      </c>
      <c r="G60" t="s">
        <v>159</v>
      </c>
      <c r="H60">
        <v>1</v>
      </c>
      <c r="L60" t="str">
        <f t="shared" si="4"/>
        <v>2005-LC01O-S-P1</v>
      </c>
      <c r="M60" t="str">
        <f t="shared" si="1"/>
        <v>q-2005-LC01O-S-P1.pdf</v>
      </c>
      <c r="N60" t="str">
        <f t="shared" si="2"/>
        <v>m-2005-LC01O-S-P1.pdf</v>
      </c>
    </row>
    <row r="61" spans="1:14" x14ac:dyDescent="0.55000000000000004">
      <c r="A61" t="s">
        <v>565</v>
      </c>
      <c r="B61">
        <v>2005</v>
      </c>
      <c r="C61" t="s">
        <v>716</v>
      </c>
      <c r="D61" t="s">
        <v>717</v>
      </c>
      <c r="E61" t="s">
        <v>100</v>
      </c>
      <c r="F61" t="s">
        <v>177</v>
      </c>
      <c r="G61" t="s">
        <v>160</v>
      </c>
      <c r="H61">
        <v>2</v>
      </c>
      <c r="L61" t="str">
        <f t="shared" si="4"/>
        <v>2005-LC01O-S-P2</v>
      </c>
      <c r="M61" t="str">
        <f t="shared" si="1"/>
        <v>q-2005-LC01O-S-P2.pdf</v>
      </c>
      <c r="N61" t="str">
        <f t="shared" si="2"/>
        <v>m-2005-LC01O-S-P2.pdf</v>
      </c>
    </row>
    <row r="62" spans="1:14" x14ac:dyDescent="0.55000000000000004">
      <c r="A62" t="s">
        <v>566</v>
      </c>
      <c r="B62">
        <v>2004</v>
      </c>
      <c r="C62" t="s">
        <v>718</v>
      </c>
      <c r="D62" t="s">
        <v>719</v>
      </c>
      <c r="E62" t="s">
        <v>100</v>
      </c>
      <c r="F62" t="s">
        <v>161</v>
      </c>
      <c r="G62" t="s">
        <v>159</v>
      </c>
      <c r="H62">
        <v>1</v>
      </c>
      <c r="L62" t="str">
        <f t="shared" si="4"/>
        <v>2004-LC01H-S-P1</v>
      </c>
      <c r="M62" t="str">
        <f t="shared" si="1"/>
        <v>q-2004-LC01H-S-P1.pdf</v>
      </c>
      <c r="N62" t="str">
        <f t="shared" si="2"/>
        <v>m-2004-LC01H-S-P1.pdf</v>
      </c>
    </row>
    <row r="63" spans="1:14" x14ac:dyDescent="0.55000000000000004">
      <c r="A63" t="s">
        <v>567</v>
      </c>
      <c r="B63">
        <v>2004</v>
      </c>
      <c r="C63" t="s">
        <v>720</v>
      </c>
      <c r="D63" t="s">
        <v>721</v>
      </c>
      <c r="E63" t="s">
        <v>100</v>
      </c>
      <c r="F63" t="s">
        <v>161</v>
      </c>
      <c r="G63" t="s">
        <v>160</v>
      </c>
      <c r="H63">
        <v>2</v>
      </c>
      <c r="L63" t="str">
        <f t="shared" si="4"/>
        <v>2004-LC01H-S-P2</v>
      </c>
      <c r="M63" t="str">
        <f t="shared" si="1"/>
        <v>q-2004-LC01H-S-P2.pdf</v>
      </c>
      <c r="N63" t="str">
        <f t="shared" si="2"/>
        <v>m-2004-LC01H-S-P2.pdf</v>
      </c>
    </row>
    <row r="64" spans="1:14" x14ac:dyDescent="0.55000000000000004">
      <c r="A64" t="s">
        <v>568</v>
      </c>
      <c r="B64">
        <v>2004</v>
      </c>
      <c r="C64" t="s">
        <v>722</v>
      </c>
      <c r="D64" t="s">
        <v>723</v>
      </c>
      <c r="E64" t="s">
        <v>100</v>
      </c>
      <c r="F64" t="s">
        <v>177</v>
      </c>
      <c r="G64" t="s">
        <v>159</v>
      </c>
      <c r="H64">
        <v>1</v>
      </c>
      <c r="L64" t="str">
        <f t="shared" si="4"/>
        <v>2004-LC01O-S-P1</v>
      </c>
      <c r="M64" t="str">
        <f t="shared" si="1"/>
        <v>q-2004-LC01O-S-P1.pdf</v>
      </c>
      <c r="N64" t="str">
        <f t="shared" si="2"/>
        <v>m-2004-LC01O-S-P1.pdf</v>
      </c>
    </row>
    <row r="65" spans="1:14" x14ac:dyDescent="0.55000000000000004">
      <c r="A65" t="s">
        <v>569</v>
      </c>
      <c r="B65">
        <v>2004</v>
      </c>
      <c r="C65" t="s">
        <v>724</v>
      </c>
      <c r="D65" t="s">
        <v>725</v>
      </c>
      <c r="E65" t="s">
        <v>100</v>
      </c>
      <c r="F65" t="s">
        <v>177</v>
      </c>
      <c r="G65" t="s">
        <v>160</v>
      </c>
      <c r="H65">
        <v>2</v>
      </c>
      <c r="L65" t="str">
        <f t="shared" si="4"/>
        <v>2004-LC01O-S-P2</v>
      </c>
      <c r="M65" t="str">
        <f t="shared" si="1"/>
        <v>q-2004-LC01O-S-P2.pdf</v>
      </c>
      <c r="N65" t="str">
        <f t="shared" si="2"/>
        <v>m-2004-LC01O-S-P2.pdf</v>
      </c>
    </row>
    <row r="66" spans="1:14" x14ac:dyDescent="0.55000000000000004">
      <c r="A66" t="s">
        <v>570</v>
      </c>
      <c r="B66">
        <v>2003</v>
      </c>
      <c r="C66" t="s">
        <v>726</v>
      </c>
      <c r="D66" t="s">
        <v>727</v>
      </c>
      <c r="E66" t="s">
        <v>100</v>
      </c>
      <c r="F66" t="s">
        <v>161</v>
      </c>
      <c r="G66" t="s">
        <v>159</v>
      </c>
      <c r="H66">
        <v>1</v>
      </c>
      <c r="L66" t="str">
        <f t="shared" si="4"/>
        <v>2003-LC01H-S-P1</v>
      </c>
      <c r="M66" t="str">
        <f t="shared" si="1"/>
        <v>q-2003-LC01H-S-P1.pdf</v>
      </c>
      <c r="N66" t="str">
        <f t="shared" si="2"/>
        <v>m-2003-LC01H-S-P1.pdf</v>
      </c>
    </row>
    <row r="67" spans="1:14" x14ac:dyDescent="0.55000000000000004">
      <c r="A67" t="s">
        <v>571</v>
      </c>
      <c r="B67">
        <v>2003</v>
      </c>
      <c r="C67" t="s">
        <v>728</v>
      </c>
      <c r="D67" t="s">
        <v>729</v>
      </c>
      <c r="E67" t="s">
        <v>100</v>
      </c>
      <c r="F67" t="s">
        <v>161</v>
      </c>
      <c r="G67" t="s">
        <v>160</v>
      </c>
      <c r="H67">
        <v>2</v>
      </c>
      <c r="L67" t="str">
        <f t="shared" si="4"/>
        <v>2003-LC01H-S-P2</v>
      </c>
      <c r="M67" t="str">
        <f t="shared" ref="M67:M101" si="5">_xlfn.CONCAT("q-",L67,".pdf")</f>
        <v>q-2003-LC01H-S-P2.pdf</v>
      </c>
      <c r="N67" t="str">
        <f t="shared" ref="N67:N101" si="6">_xlfn.CONCAT("m-",$L67,".pdf")</f>
        <v>m-2003-LC01H-S-P2.pdf</v>
      </c>
    </row>
    <row r="68" spans="1:14" x14ac:dyDescent="0.55000000000000004">
      <c r="A68" t="s">
        <v>572</v>
      </c>
      <c r="B68">
        <v>2003</v>
      </c>
      <c r="C68" t="s">
        <v>730</v>
      </c>
      <c r="D68" t="s">
        <v>731</v>
      </c>
      <c r="E68" t="s">
        <v>100</v>
      </c>
      <c r="F68" t="s">
        <v>177</v>
      </c>
      <c r="G68" t="s">
        <v>159</v>
      </c>
      <c r="H68">
        <v>1</v>
      </c>
      <c r="L68" t="str">
        <f t="shared" si="4"/>
        <v>2003-LC01O-S-P1</v>
      </c>
      <c r="M68" t="str">
        <f t="shared" si="5"/>
        <v>q-2003-LC01O-S-P1.pdf</v>
      </c>
      <c r="N68" t="str">
        <f t="shared" si="6"/>
        <v>m-2003-LC01O-S-P1.pdf</v>
      </c>
    </row>
    <row r="69" spans="1:14" x14ac:dyDescent="0.55000000000000004">
      <c r="A69" t="s">
        <v>573</v>
      </c>
      <c r="B69">
        <v>2003</v>
      </c>
      <c r="C69" t="s">
        <v>732</v>
      </c>
      <c r="D69" t="s">
        <v>733</v>
      </c>
      <c r="E69" t="s">
        <v>100</v>
      </c>
      <c r="F69" t="s">
        <v>177</v>
      </c>
      <c r="G69" t="s">
        <v>160</v>
      </c>
      <c r="H69">
        <v>2</v>
      </c>
      <c r="L69" t="str">
        <f t="shared" si="4"/>
        <v>2003-LC01O-S-P2</v>
      </c>
      <c r="M69" t="str">
        <f t="shared" si="5"/>
        <v>q-2003-LC01O-S-P2.pdf</v>
      </c>
      <c r="N69" t="str">
        <f t="shared" si="6"/>
        <v>m-2003-LC01O-S-P2.pdf</v>
      </c>
    </row>
    <row r="70" spans="1:14" x14ac:dyDescent="0.55000000000000004">
      <c r="A70" t="s">
        <v>574</v>
      </c>
      <c r="B70">
        <v>2002</v>
      </c>
      <c r="C70" t="s">
        <v>734</v>
      </c>
      <c r="D70" t="s">
        <v>735</v>
      </c>
      <c r="E70" t="s">
        <v>100</v>
      </c>
      <c r="F70" t="s">
        <v>161</v>
      </c>
      <c r="G70" t="s">
        <v>159</v>
      </c>
      <c r="H70">
        <v>1</v>
      </c>
      <c r="L70" t="str">
        <f t="shared" si="4"/>
        <v>2002-LC01H-S-P1</v>
      </c>
      <c r="M70" t="str">
        <f t="shared" si="5"/>
        <v>q-2002-LC01H-S-P1.pdf</v>
      </c>
      <c r="N70" t="str">
        <f t="shared" si="6"/>
        <v>m-2002-LC01H-S-P1.pdf</v>
      </c>
    </row>
    <row r="71" spans="1:14" x14ac:dyDescent="0.55000000000000004">
      <c r="A71" t="s">
        <v>575</v>
      </c>
      <c r="B71">
        <v>2002</v>
      </c>
      <c r="C71" t="s">
        <v>736</v>
      </c>
      <c r="D71" t="s">
        <v>737</v>
      </c>
      <c r="E71" t="s">
        <v>100</v>
      </c>
      <c r="F71" t="s">
        <v>161</v>
      </c>
      <c r="G71" t="s">
        <v>160</v>
      </c>
      <c r="H71">
        <v>2</v>
      </c>
      <c r="L71" t="str">
        <f t="shared" si="4"/>
        <v>2002-LC01H-S-P2</v>
      </c>
      <c r="M71" t="str">
        <f t="shared" si="5"/>
        <v>q-2002-LC01H-S-P2.pdf</v>
      </c>
      <c r="N71" t="str">
        <f t="shared" si="6"/>
        <v>m-2002-LC01H-S-P2.pdf</v>
      </c>
    </row>
    <row r="72" spans="1:14" x14ac:dyDescent="0.55000000000000004">
      <c r="A72" t="s">
        <v>576</v>
      </c>
      <c r="B72">
        <v>2002</v>
      </c>
      <c r="C72" t="s">
        <v>738</v>
      </c>
      <c r="D72" t="s">
        <v>739</v>
      </c>
      <c r="E72" t="s">
        <v>100</v>
      </c>
      <c r="F72" t="s">
        <v>177</v>
      </c>
      <c r="G72" t="s">
        <v>159</v>
      </c>
      <c r="H72">
        <v>1</v>
      </c>
      <c r="L72" t="str">
        <f t="shared" si="4"/>
        <v>2002-LC01O-S-P1</v>
      </c>
      <c r="M72" t="str">
        <f t="shared" si="5"/>
        <v>q-2002-LC01O-S-P1.pdf</v>
      </c>
      <c r="N72" t="str">
        <f t="shared" si="6"/>
        <v>m-2002-LC01O-S-P1.pdf</v>
      </c>
    </row>
    <row r="73" spans="1:14" x14ac:dyDescent="0.55000000000000004">
      <c r="A73" t="s">
        <v>577</v>
      </c>
      <c r="B73">
        <v>2002</v>
      </c>
      <c r="C73" t="s">
        <v>740</v>
      </c>
      <c r="D73" t="s">
        <v>741</v>
      </c>
      <c r="E73" t="s">
        <v>100</v>
      </c>
      <c r="F73" t="s">
        <v>177</v>
      </c>
      <c r="G73" t="s">
        <v>160</v>
      </c>
      <c r="H73">
        <v>2</v>
      </c>
      <c r="L73" t="str">
        <f t="shared" si="4"/>
        <v>2002-LC01O-S-P2</v>
      </c>
      <c r="M73" t="str">
        <f t="shared" si="5"/>
        <v>q-2002-LC01O-S-P2.pdf</v>
      </c>
      <c r="N73" t="str">
        <f t="shared" si="6"/>
        <v>m-2002-LC01O-S-P2.pdf</v>
      </c>
    </row>
    <row r="74" spans="1:14" x14ac:dyDescent="0.55000000000000004">
      <c r="A74" t="s">
        <v>578</v>
      </c>
      <c r="B74">
        <v>2001</v>
      </c>
      <c r="C74" t="s">
        <v>742</v>
      </c>
      <c r="D74" t="s">
        <v>743</v>
      </c>
      <c r="E74" t="s">
        <v>100</v>
      </c>
      <c r="F74" t="s">
        <v>161</v>
      </c>
      <c r="G74" t="s">
        <v>159</v>
      </c>
      <c r="H74">
        <v>1</v>
      </c>
      <c r="L74" t="str">
        <f t="shared" si="4"/>
        <v>2001-LC01H-S-P1</v>
      </c>
      <c r="M74" t="str">
        <f t="shared" si="5"/>
        <v>q-2001-LC01H-S-P1.pdf</v>
      </c>
      <c r="N74" t="str">
        <f t="shared" si="6"/>
        <v>m-2001-LC01H-S-P1.pdf</v>
      </c>
    </row>
    <row r="75" spans="1:14" x14ac:dyDescent="0.55000000000000004">
      <c r="A75" t="s">
        <v>579</v>
      </c>
      <c r="B75">
        <v>2001</v>
      </c>
      <c r="C75" t="s">
        <v>744</v>
      </c>
      <c r="D75" t="s">
        <v>745</v>
      </c>
      <c r="E75" t="s">
        <v>100</v>
      </c>
      <c r="F75" t="s">
        <v>161</v>
      </c>
      <c r="G75" t="s">
        <v>160</v>
      </c>
      <c r="H75">
        <v>2</v>
      </c>
      <c r="L75" t="str">
        <f t="shared" si="4"/>
        <v>2001-LC01H-S-P2</v>
      </c>
      <c r="M75" t="str">
        <f t="shared" si="5"/>
        <v>q-2001-LC01H-S-P2.pdf</v>
      </c>
      <c r="N75" t="str">
        <f t="shared" si="6"/>
        <v>m-2001-LC01H-S-P2.pdf</v>
      </c>
    </row>
    <row r="76" spans="1:14" x14ac:dyDescent="0.55000000000000004">
      <c r="A76" t="s">
        <v>580</v>
      </c>
      <c r="B76">
        <v>2001</v>
      </c>
      <c r="C76" t="s">
        <v>746</v>
      </c>
      <c r="D76" t="s">
        <v>747</v>
      </c>
      <c r="E76" t="s">
        <v>100</v>
      </c>
      <c r="F76" t="s">
        <v>177</v>
      </c>
      <c r="G76" t="s">
        <v>159</v>
      </c>
      <c r="H76">
        <v>1</v>
      </c>
      <c r="L76" t="str">
        <f t="shared" si="4"/>
        <v>2001-LC01O-S-P1</v>
      </c>
      <c r="M76" t="str">
        <f t="shared" si="5"/>
        <v>q-2001-LC01O-S-P1.pdf</v>
      </c>
      <c r="N76" t="str">
        <f t="shared" si="6"/>
        <v>m-2001-LC01O-S-P1.pdf</v>
      </c>
    </row>
    <row r="77" spans="1:14" x14ac:dyDescent="0.55000000000000004">
      <c r="A77" t="s">
        <v>581</v>
      </c>
      <c r="B77">
        <v>2001</v>
      </c>
      <c r="C77" t="s">
        <v>748</v>
      </c>
      <c r="D77" t="s">
        <v>749</v>
      </c>
      <c r="E77" t="s">
        <v>100</v>
      </c>
      <c r="F77" t="s">
        <v>177</v>
      </c>
      <c r="G77" t="s">
        <v>160</v>
      </c>
      <c r="H77">
        <v>2</v>
      </c>
      <c r="L77" t="str">
        <f t="shared" si="4"/>
        <v>2001-LC01O-S-P2</v>
      </c>
      <c r="M77" t="str">
        <f t="shared" si="5"/>
        <v>q-2001-LC01O-S-P2.pdf</v>
      </c>
      <c r="N77" t="str">
        <f t="shared" si="6"/>
        <v>m-2001-LC01O-S-P2.pdf</v>
      </c>
    </row>
    <row r="78" spans="1:14" x14ac:dyDescent="0.55000000000000004">
      <c r="A78" t="s">
        <v>582</v>
      </c>
      <c r="B78">
        <v>2000</v>
      </c>
      <c r="C78" t="s">
        <v>750</v>
      </c>
      <c r="D78" t="s">
        <v>751</v>
      </c>
      <c r="E78" t="s">
        <v>100</v>
      </c>
      <c r="F78" t="s">
        <v>161</v>
      </c>
      <c r="G78" t="s">
        <v>159</v>
      </c>
      <c r="H78">
        <v>1</v>
      </c>
      <c r="L78" t="str">
        <f t="shared" si="4"/>
        <v>2000-LC01H-S-P1</v>
      </c>
      <c r="M78" t="str">
        <f t="shared" si="5"/>
        <v>q-2000-LC01H-S-P1.pdf</v>
      </c>
      <c r="N78" t="str">
        <f t="shared" si="6"/>
        <v>m-2000-LC01H-S-P1.pdf</v>
      </c>
    </row>
    <row r="79" spans="1:14" x14ac:dyDescent="0.55000000000000004">
      <c r="A79" t="s">
        <v>583</v>
      </c>
      <c r="B79">
        <v>2000</v>
      </c>
      <c r="C79" t="s">
        <v>752</v>
      </c>
      <c r="D79" t="s">
        <v>753</v>
      </c>
      <c r="E79" t="s">
        <v>100</v>
      </c>
      <c r="F79" t="s">
        <v>161</v>
      </c>
      <c r="G79" t="s">
        <v>160</v>
      </c>
      <c r="H79">
        <v>2</v>
      </c>
      <c r="L79" t="str">
        <f t="shared" si="4"/>
        <v>2000-LC01H-S-P2</v>
      </c>
      <c r="M79" t="str">
        <f t="shared" si="5"/>
        <v>q-2000-LC01H-S-P2.pdf</v>
      </c>
      <c r="N79" t="str">
        <f t="shared" si="6"/>
        <v>m-2000-LC01H-S-P2.pdf</v>
      </c>
    </row>
    <row r="80" spans="1:14" x14ac:dyDescent="0.55000000000000004">
      <c r="A80" t="s">
        <v>584</v>
      </c>
      <c r="B80">
        <v>2000</v>
      </c>
      <c r="C80" t="s">
        <v>754</v>
      </c>
      <c r="D80" t="s">
        <v>755</v>
      </c>
      <c r="E80" t="s">
        <v>100</v>
      </c>
      <c r="F80" t="s">
        <v>177</v>
      </c>
      <c r="G80" t="s">
        <v>159</v>
      </c>
      <c r="H80">
        <v>1</v>
      </c>
      <c r="L80" t="str">
        <f t="shared" si="4"/>
        <v>2000-LC01O-S-P1</v>
      </c>
      <c r="M80" t="str">
        <f t="shared" si="5"/>
        <v>q-2000-LC01O-S-P1.pdf</v>
      </c>
      <c r="N80" t="str">
        <f t="shared" si="6"/>
        <v>m-2000-LC01O-S-P1.pdf</v>
      </c>
    </row>
    <row r="81" spans="1:14" x14ac:dyDescent="0.55000000000000004">
      <c r="A81" t="s">
        <v>585</v>
      </c>
      <c r="B81">
        <v>2000</v>
      </c>
      <c r="C81" t="s">
        <v>756</v>
      </c>
      <c r="D81" t="s">
        <v>757</v>
      </c>
      <c r="E81" t="s">
        <v>100</v>
      </c>
      <c r="F81" t="s">
        <v>177</v>
      </c>
      <c r="G81" t="s">
        <v>160</v>
      </c>
      <c r="H81">
        <v>2</v>
      </c>
      <c r="L81" t="str">
        <f t="shared" si="4"/>
        <v>2000-LC01O-S-P2</v>
      </c>
      <c r="M81" t="str">
        <f t="shared" si="5"/>
        <v>q-2000-LC01O-S-P2.pdf</v>
      </c>
      <c r="N81" t="str">
        <f t="shared" si="6"/>
        <v>m-2000-LC01O-S-P2.pdf</v>
      </c>
    </row>
    <row r="82" spans="1:14" x14ac:dyDescent="0.55000000000000004">
      <c r="A82" t="s">
        <v>586</v>
      </c>
      <c r="B82">
        <v>1999</v>
      </c>
      <c r="C82" t="s">
        <v>758</v>
      </c>
      <c r="D82" t="s">
        <v>759</v>
      </c>
      <c r="E82" t="s">
        <v>100</v>
      </c>
      <c r="F82" t="s">
        <v>161</v>
      </c>
      <c r="G82" t="s">
        <v>159</v>
      </c>
      <c r="H82">
        <v>1</v>
      </c>
      <c r="L82" t="str">
        <f t="shared" si="4"/>
        <v>1999-LC01H-S-P1</v>
      </c>
      <c r="M82" t="str">
        <f t="shared" si="5"/>
        <v>q-1999-LC01H-S-P1.pdf</v>
      </c>
      <c r="N82" t="str">
        <f t="shared" si="6"/>
        <v>m-1999-LC01H-S-P1.pdf</v>
      </c>
    </row>
    <row r="83" spans="1:14" x14ac:dyDescent="0.55000000000000004">
      <c r="A83" t="s">
        <v>587</v>
      </c>
      <c r="B83">
        <v>1999</v>
      </c>
      <c r="C83" t="s">
        <v>760</v>
      </c>
      <c r="D83" t="s">
        <v>761</v>
      </c>
      <c r="E83" t="s">
        <v>100</v>
      </c>
      <c r="F83" t="s">
        <v>161</v>
      </c>
      <c r="G83" t="s">
        <v>160</v>
      </c>
      <c r="H83">
        <v>2</v>
      </c>
      <c r="L83" t="str">
        <f t="shared" si="4"/>
        <v>1999-LC01H-S-P2</v>
      </c>
      <c r="M83" t="str">
        <f t="shared" si="5"/>
        <v>q-1999-LC01H-S-P2.pdf</v>
      </c>
      <c r="N83" t="str">
        <f t="shared" si="6"/>
        <v>m-1999-LC01H-S-P2.pdf</v>
      </c>
    </row>
    <row r="84" spans="1:14" x14ac:dyDescent="0.55000000000000004">
      <c r="A84" t="s">
        <v>588</v>
      </c>
      <c r="B84">
        <v>1999</v>
      </c>
      <c r="C84" t="s">
        <v>762</v>
      </c>
      <c r="D84" t="s">
        <v>763</v>
      </c>
      <c r="E84" t="s">
        <v>100</v>
      </c>
      <c r="F84" t="s">
        <v>177</v>
      </c>
      <c r="G84" t="s">
        <v>159</v>
      </c>
      <c r="H84">
        <v>1</v>
      </c>
      <c r="L84" t="str">
        <f t="shared" si="4"/>
        <v>1999-LC01O-S-P1</v>
      </c>
      <c r="M84" t="str">
        <f t="shared" si="5"/>
        <v>q-1999-LC01O-S-P1.pdf</v>
      </c>
      <c r="N84" t="str">
        <f t="shared" si="6"/>
        <v>m-1999-LC01O-S-P1.pdf</v>
      </c>
    </row>
    <row r="85" spans="1:14" x14ac:dyDescent="0.55000000000000004">
      <c r="A85" t="s">
        <v>589</v>
      </c>
      <c r="B85">
        <v>1999</v>
      </c>
      <c r="C85" t="s">
        <v>764</v>
      </c>
      <c r="D85" t="s">
        <v>765</v>
      </c>
      <c r="E85" t="s">
        <v>100</v>
      </c>
      <c r="F85" t="s">
        <v>177</v>
      </c>
      <c r="G85" t="s">
        <v>160</v>
      </c>
      <c r="H85">
        <v>2</v>
      </c>
      <c r="L85" t="str">
        <f t="shared" si="4"/>
        <v>1999-LC01O-S-P2</v>
      </c>
      <c r="M85" t="str">
        <f t="shared" si="5"/>
        <v>q-1999-LC01O-S-P2.pdf</v>
      </c>
      <c r="N85" t="str">
        <f t="shared" si="6"/>
        <v>m-1999-LC01O-S-P2.pdf</v>
      </c>
    </row>
    <row r="86" spans="1:14" x14ac:dyDescent="0.55000000000000004">
      <c r="A86" t="s">
        <v>590</v>
      </c>
      <c r="B86">
        <v>1998</v>
      </c>
      <c r="C86" t="s">
        <v>766</v>
      </c>
      <c r="D86" t="s">
        <v>767</v>
      </c>
      <c r="E86" t="s">
        <v>100</v>
      </c>
      <c r="F86" t="s">
        <v>161</v>
      </c>
      <c r="G86" t="s">
        <v>159</v>
      </c>
      <c r="H86">
        <v>1</v>
      </c>
      <c r="L86" t="str">
        <f t="shared" ref="L86:L101" si="7">_xlfn.CONCAT(B86,"-",F86,"-S-","P",H86)</f>
        <v>1998-LC01H-S-P1</v>
      </c>
      <c r="M86" t="str">
        <f t="shared" si="5"/>
        <v>q-1998-LC01H-S-P1.pdf</v>
      </c>
      <c r="N86" t="str">
        <f t="shared" si="6"/>
        <v>m-1998-LC01H-S-P1.pdf</v>
      </c>
    </row>
    <row r="87" spans="1:14" x14ac:dyDescent="0.55000000000000004">
      <c r="A87" t="s">
        <v>591</v>
      </c>
      <c r="B87">
        <v>1998</v>
      </c>
      <c r="C87" t="s">
        <v>768</v>
      </c>
      <c r="D87" t="s">
        <v>769</v>
      </c>
      <c r="E87" t="s">
        <v>100</v>
      </c>
      <c r="F87" t="s">
        <v>161</v>
      </c>
      <c r="G87" t="s">
        <v>160</v>
      </c>
      <c r="H87">
        <v>2</v>
      </c>
      <c r="L87" t="str">
        <f t="shared" si="7"/>
        <v>1998-LC01H-S-P2</v>
      </c>
      <c r="M87" t="str">
        <f t="shared" si="5"/>
        <v>q-1998-LC01H-S-P2.pdf</v>
      </c>
      <c r="N87" t="str">
        <f t="shared" si="6"/>
        <v>m-1998-LC01H-S-P2.pdf</v>
      </c>
    </row>
    <row r="88" spans="1:14" x14ac:dyDescent="0.55000000000000004">
      <c r="A88" t="s">
        <v>592</v>
      </c>
      <c r="B88">
        <v>1998</v>
      </c>
      <c r="C88" t="s">
        <v>770</v>
      </c>
      <c r="D88" t="s">
        <v>771</v>
      </c>
      <c r="E88" t="s">
        <v>100</v>
      </c>
      <c r="F88" t="s">
        <v>177</v>
      </c>
      <c r="G88" t="s">
        <v>159</v>
      </c>
      <c r="H88">
        <v>1</v>
      </c>
      <c r="L88" t="str">
        <f t="shared" si="7"/>
        <v>1998-LC01O-S-P1</v>
      </c>
      <c r="M88" t="str">
        <f t="shared" si="5"/>
        <v>q-1998-LC01O-S-P1.pdf</v>
      </c>
      <c r="N88" t="str">
        <f t="shared" si="6"/>
        <v>m-1998-LC01O-S-P1.pdf</v>
      </c>
    </row>
    <row r="89" spans="1:14" x14ac:dyDescent="0.55000000000000004">
      <c r="A89" t="s">
        <v>593</v>
      </c>
      <c r="B89">
        <v>1998</v>
      </c>
      <c r="C89" t="s">
        <v>772</v>
      </c>
      <c r="D89" t="s">
        <v>773</v>
      </c>
      <c r="E89" t="s">
        <v>100</v>
      </c>
      <c r="F89" t="s">
        <v>177</v>
      </c>
      <c r="G89" t="s">
        <v>160</v>
      </c>
      <c r="H89">
        <v>2</v>
      </c>
      <c r="L89" t="str">
        <f t="shared" si="7"/>
        <v>1998-LC01O-S-P2</v>
      </c>
      <c r="M89" t="str">
        <f t="shared" si="5"/>
        <v>q-1998-LC01O-S-P2.pdf</v>
      </c>
      <c r="N89" t="str">
        <f t="shared" si="6"/>
        <v>m-1998-LC01O-S-P2.pdf</v>
      </c>
    </row>
    <row r="90" spans="1:14" x14ac:dyDescent="0.55000000000000004">
      <c r="A90" t="s">
        <v>594</v>
      </c>
      <c r="B90">
        <v>1997</v>
      </c>
      <c r="C90" t="s">
        <v>774</v>
      </c>
      <c r="D90" t="s">
        <v>775</v>
      </c>
      <c r="E90" t="s">
        <v>100</v>
      </c>
      <c r="F90" t="s">
        <v>161</v>
      </c>
      <c r="G90" t="s">
        <v>159</v>
      </c>
      <c r="H90">
        <v>1</v>
      </c>
      <c r="L90" t="str">
        <f t="shared" si="7"/>
        <v>1997-LC01H-S-P1</v>
      </c>
      <c r="M90" t="str">
        <f t="shared" si="5"/>
        <v>q-1997-LC01H-S-P1.pdf</v>
      </c>
      <c r="N90" t="str">
        <f t="shared" si="6"/>
        <v>m-1997-LC01H-S-P1.pdf</v>
      </c>
    </row>
    <row r="91" spans="1:14" x14ac:dyDescent="0.55000000000000004">
      <c r="A91" t="s">
        <v>595</v>
      </c>
      <c r="B91">
        <v>1997</v>
      </c>
      <c r="C91" t="s">
        <v>776</v>
      </c>
      <c r="D91" t="s">
        <v>777</v>
      </c>
      <c r="E91" t="s">
        <v>100</v>
      </c>
      <c r="F91" t="s">
        <v>161</v>
      </c>
      <c r="G91" t="s">
        <v>160</v>
      </c>
      <c r="H91">
        <v>2</v>
      </c>
      <c r="L91" t="str">
        <f t="shared" si="7"/>
        <v>1997-LC01H-S-P2</v>
      </c>
      <c r="M91" t="str">
        <f t="shared" si="5"/>
        <v>q-1997-LC01H-S-P2.pdf</v>
      </c>
      <c r="N91" t="str">
        <f t="shared" si="6"/>
        <v>m-1997-LC01H-S-P2.pdf</v>
      </c>
    </row>
    <row r="92" spans="1:14" x14ac:dyDescent="0.55000000000000004">
      <c r="A92" t="s">
        <v>596</v>
      </c>
      <c r="B92">
        <v>1997</v>
      </c>
      <c r="C92" t="s">
        <v>778</v>
      </c>
      <c r="D92" t="s">
        <v>779</v>
      </c>
      <c r="E92" t="s">
        <v>100</v>
      </c>
      <c r="F92" t="s">
        <v>177</v>
      </c>
      <c r="G92" t="s">
        <v>159</v>
      </c>
      <c r="H92">
        <v>1</v>
      </c>
      <c r="L92" t="str">
        <f t="shared" si="7"/>
        <v>1997-LC01O-S-P1</v>
      </c>
      <c r="M92" t="str">
        <f t="shared" si="5"/>
        <v>q-1997-LC01O-S-P1.pdf</v>
      </c>
      <c r="N92" t="str">
        <f t="shared" si="6"/>
        <v>m-1997-LC01O-S-P1.pdf</v>
      </c>
    </row>
    <row r="93" spans="1:14" x14ac:dyDescent="0.55000000000000004">
      <c r="A93" t="s">
        <v>597</v>
      </c>
      <c r="B93">
        <v>1997</v>
      </c>
      <c r="C93" t="s">
        <v>780</v>
      </c>
      <c r="D93" t="s">
        <v>781</v>
      </c>
      <c r="E93" t="s">
        <v>100</v>
      </c>
      <c r="F93" t="s">
        <v>177</v>
      </c>
      <c r="G93" t="s">
        <v>160</v>
      </c>
      <c r="H93">
        <v>2</v>
      </c>
      <c r="L93" t="str">
        <f t="shared" si="7"/>
        <v>1997-LC01O-S-P2</v>
      </c>
      <c r="M93" t="str">
        <f t="shared" si="5"/>
        <v>q-1997-LC01O-S-P2.pdf</v>
      </c>
      <c r="N93" t="str">
        <f t="shared" si="6"/>
        <v>m-1997-LC01O-S-P2.pdf</v>
      </c>
    </row>
    <row r="94" spans="1:14" x14ac:dyDescent="0.55000000000000004">
      <c r="A94" t="s">
        <v>598</v>
      </c>
      <c r="B94">
        <v>1996</v>
      </c>
      <c r="C94" t="s">
        <v>782</v>
      </c>
      <c r="D94" t="s">
        <v>783</v>
      </c>
      <c r="E94" t="s">
        <v>100</v>
      </c>
      <c r="F94" t="s">
        <v>161</v>
      </c>
      <c r="G94" t="s">
        <v>159</v>
      </c>
      <c r="H94">
        <v>1</v>
      </c>
      <c r="L94" t="str">
        <f t="shared" si="7"/>
        <v>1996-LC01H-S-P1</v>
      </c>
      <c r="M94" t="str">
        <f t="shared" si="5"/>
        <v>q-1996-LC01H-S-P1.pdf</v>
      </c>
      <c r="N94" t="str">
        <f t="shared" si="6"/>
        <v>m-1996-LC01H-S-P1.pdf</v>
      </c>
    </row>
    <row r="95" spans="1:14" x14ac:dyDescent="0.55000000000000004">
      <c r="A95" t="s">
        <v>599</v>
      </c>
      <c r="B95">
        <v>1996</v>
      </c>
      <c r="C95" t="s">
        <v>784</v>
      </c>
      <c r="D95" t="s">
        <v>785</v>
      </c>
      <c r="E95" t="s">
        <v>100</v>
      </c>
      <c r="F95" t="s">
        <v>161</v>
      </c>
      <c r="G95" t="s">
        <v>160</v>
      </c>
      <c r="H95">
        <v>2</v>
      </c>
      <c r="L95" t="str">
        <f t="shared" si="7"/>
        <v>1996-LC01H-S-P2</v>
      </c>
      <c r="M95" t="str">
        <f t="shared" si="5"/>
        <v>q-1996-LC01H-S-P2.pdf</v>
      </c>
      <c r="N95" t="str">
        <f t="shared" si="6"/>
        <v>m-1996-LC01H-S-P2.pdf</v>
      </c>
    </row>
    <row r="96" spans="1:14" x14ac:dyDescent="0.55000000000000004">
      <c r="A96" t="s">
        <v>600</v>
      </c>
      <c r="B96">
        <v>1996</v>
      </c>
      <c r="C96" t="s">
        <v>786</v>
      </c>
      <c r="D96" t="s">
        <v>787</v>
      </c>
      <c r="E96" t="s">
        <v>100</v>
      </c>
      <c r="F96" t="s">
        <v>177</v>
      </c>
      <c r="G96" t="s">
        <v>159</v>
      </c>
      <c r="H96">
        <v>1</v>
      </c>
      <c r="L96" t="str">
        <f t="shared" si="7"/>
        <v>1996-LC01O-S-P1</v>
      </c>
      <c r="M96" t="str">
        <f t="shared" si="5"/>
        <v>q-1996-LC01O-S-P1.pdf</v>
      </c>
      <c r="N96" t="str">
        <f t="shared" si="6"/>
        <v>m-1996-LC01O-S-P1.pdf</v>
      </c>
    </row>
    <row r="97" spans="1:14" x14ac:dyDescent="0.55000000000000004">
      <c r="A97" t="s">
        <v>601</v>
      </c>
      <c r="B97">
        <v>1996</v>
      </c>
      <c r="C97" t="s">
        <v>788</v>
      </c>
      <c r="D97" t="s">
        <v>789</v>
      </c>
      <c r="E97" t="s">
        <v>100</v>
      </c>
      <c r="F97" t="s">
        <v>177</v>
      </c>
      <c r="G97" t="s">
        <v>160</v>
      </c>
      <c r="H97">
        <v>2</v>
      </c>
      <c r="L97" t="str">
        <f t="shared" si="7"/>
        <v>1996-LC01O-S-P2</v>
      </c>
      <c r="M97" t="str">
        <f t="shared" si="5"/>
        <v>q-1996-LC01O-S-P2.pdf</v>
      </c>
      <c r="N97" t="str">
        <f t="shared" si="6"/>
        <v>m-1996-LC01O-S-P2.pdf</v>
      </c>
    </row>
    <row r="98" spans="1:14" x14ac:dyDescent="0.55000000000000004">
      <c r="A98" t="s">
        <v>602</v>
      </c>
      <c r="B98">
        <v>1995</v>
      </c>
      <c r="C98" t="s">
        <v>790</v>
      </c>
      <c r="D98" t="s">
        <v>791</v>
      </c>
      <c r="E98" t="s">
        <v>100</v>
      </c>
      <c r="F98" t="s">
        <v>161</v>
      </c>
      <c r="G98" t="s">
        <v>159</v>
      </c>
      <c r="H98">
        <v>1</v>
      </c>
      <c r="L98" t="str">
        <f t="shared" si="7"/>
        <v>1995-LC01H-S-P1</v>
      </c>
      <c r="M98" t="str">
        <f t="shared" si="5"/>
        <v>q-1995-LC01H-S-P1.pdf</v>
      </c>
      <c r="N98" t="str">
        <f t="shared" si="6"/>
        <v>m-1995-LC01H-S-P1.pdf</v>
      </c>
    </row>
    <row r="99" spans="1:14" x14ac:dyDescent="0.55000000000000004">
      <c r="A99" t="s">
        <v>603</v>
      </c>
      <c r="B99">
        <v>1995</v>
      </c>
      <c r="C99" t="s">
        <v>792</v>
      </c>
      <c r="D99" t="s">
        <v>793</v>
      </c>
      <c r="E99" t="s">
        <v>100</v>
      </c>
      <c r="F99" t="s">
        <v>161</v>
      </c>
      <c r="G99" t="s">
        <v>160</v>
      </c>
      <c r="H99">
        <v>2</v>
      </c>
      <c r="L99" t="str">
        <f t="shared" si="7"/>
        <v>1995-LC01H-S-P2</v>
      </c>
      <c r="M99" t="str">
        <f t="shared" si="5"/>
        <v>q-1995-LC01H-S-P2.pdf</v>
      </c>
      <c r="N99" t="str">
        <f t="shared" si="6"/>
        <v>m-1995-LC01H-S-P2.pdf</v>
      </c>
    </row>
    <row r="100" spans="1:14" x14ac:dyDescent="0.55000000000000004">
      <c r="A100" t="s">
        <v>604</v>
      </c>
      <c r="B100">
        <v>1995</v>
      </c>
      <c r="C100" t="s">
        <v>794</v>
      </c>
      <c r="D100" t="s">
        <v>795</v>
      </c>
      <c r="E100" t="s">
        <v>100</v>
      </c>
      <c r="F100" t="s">
        <v>177</v>
      </c>
      <c r="G100" t="s">
        <v>159</v>
      </c>
      <c r="H100">
        <v>1</v>
      </c>
      <c r="L100" t="str">
        <f t="shared" si="7"/>
        <v>1995-LC01O-S-P1</v>
      </c>
      <c r="M100" t="str">
        <f t="shared" si="5"/>
        <v>q-1995-LC01O-S-P1.pdf</v>
      </c>
      <c r="N100" t="str">
        <f t="shared" si="6"/>
        <v>m-1995-LC01O-S-P1.pdf</v>
      </c>
    </row>
    <row r="101" spans="1:14" x14ac:dyDescent="0.55000000000000004">
      <c r="A101" t="s">
        <v>605</v>
      </c>
      <c r="B101">
        <v>1995</v>
      </c>
      <c r="C101" t="s">
        <v>796</v>
      </c>
      <c r="D101" t="s">
        <v>797</v>
      </c>
      <c r="E101" t="s">
        <v>100</v>
      </c>
      <c r="F101" t="s">
        <v>177</v>
      </c>
      <c r="G101" t="s">
        <v>160</v>
      </c>
      <c r="H101">
        <v>2</v>
      </c>
      <c r="L101" t="str">
        <f t="shared" si="7"/>
        <v>1995-LC01O-S-P2</v>
      </c>
      <c r="M101" t="str">
        <f t="shared" si="5"/>
        <v>q-1995-LC01O-S-P2.pdf</v>
      </c>
      <c r="N101" t="str">
        <f t="shared" si="6"/>
        <v>m-1995-LC01O-S-P2.pdf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8363-576C-4A7E-B935-FDC076DFA909}">
  <dimension ref="A1:L41"/>
  <sheetViews>
    <sheetView workbookViewId="0">
      <selection activeCell="C9" sqref="C9"/>
    </sheetView>
  </sheetViews>
  <sheetFormatPr defaultRowHeight="14.4" x14ac:dyDescent="0.55000000000000004"/>
  <cols>
    <col min="1" max="1" width="14.89453125" bestFit="1" customWidth="1"/>
    <col min="3" max="3" width="23.62890625" bestFit="1" customWidth="1"/>
    <col min="4" max="4" width="17.68359375" bestFit="1" customWidth="1"/>
    <col min="5" max="5" width="9.3671875" bestFit="1" customWidth="1"/>
    <col min="7" max="7" width="11" bestFit="1" customWidth="1"/>
    <col min="12" max="12" width="14.89453125" bestFit="1" customWidth="1"/>
  </cols>
  <sheetData>
    <row r="1" spans="1:12" x14ac:dyDescent="0.55000000000000004">
      <c r="A1" t="s">
        <v>89</v>
      </c>
      <c r="B1" t="s">
        <v>88</v>
      </c>
      <c r="C1" t="s">
        <v>90</v>
      </c>
      <c r="D1" t="s">
        <v>91</v>
      </c>
      <c r="E1" t="s">
        <v>92</v>
      </c>
      <c r="F1" t="s">
        <v>93</v>
      </c>
      <c r="G1" t="s">
        <v>95</v>
      </c>
    </row>
    <row r="2" spans="1:12" x14ac:dyDescent="0.55000000000000004">
      <c r="A2" t="s">
        <v>125</v>
      </c>
      <c r="B2">
        <v>2020</v>
      </c>
      <c r="C2" t="s">
        <v>101</v>
      </c>
      <c r="D2" t="s">
        <v>117</v>
      </c>
      <c r="E2" t="s">
        <v>100</v>
      </c>
      <c r="F2" t="s">
        <v>94</v>
      </c>
      <c r="G2" t="s">
        <v>96</v>
      </c>
      <c r="H2">
        <v>1</v>
      </c>
      <c r="L2" t="str">
        <f>_xlfn.CONCAT(B2,"-",F2,"-S-","P",H2)</f>
        <v>2020-LC04H-S-P1</v>
      </c>
    </row>
    <row r="3" spans="1:12" x14ac:dyDescent="0.55000000000000004">
      <c r="A3" t="s">
        <v>126</v>
      </c>
      <c r="B3">
        <v>2020</v>
      </c>
      <c r="C3" t="s">
        <v>102</v>
      </c>
      <c r="D3" t="s">
        <v>117</v>
      </c>
      <c r="E3" t="s">
        <v>100</v>
      </c>
      <c r="F3" t="s">
        <v>94</v>
      </c>
      <c r="G3" t="s">
        <v>97</v>
      </c>
      <c r="H3">
        <v>2</v>
      </c>
      <c r="L3" t="str">
        <f t="shared" ref="L3:L21" si="0">_xlfn.CONCAT(B3,"-",F3,"-S-","P",H3)</f>
        <v>2020-LC04H-S-P2</v>
      </c>
    </row>
    <row r="4" spans="1:12" x14ac:dyDescent="0.55000000000000004">
      <c r="A4" t="s">
        <v>134</v>
      </c>
      <c r="B4">
        <v>2020</v>
      </c>
      <c r="C4" t="s">
        <v>103</v>
      </c>
      <c r="D4" t="s">
        <v>118</v>
      </c>
      <c r="E4" t="s">
        <v>100</v>
      </c>
      <c r="F4" t="s">
        <v>133</v>
      </c>
      <c r="G4" t="s">
        <v>96</v>
      </c>
      <c r="H4">
        <v>1</v>
      </c>
      <c r="L4" t="str">
        <f t="shared" si="0"/>
        <v>2020-LC04O-S-P1</v>
      </c>
    </row>
    <row r="5" spans="1:12" x14ac:dyDescent="0.55000000000000004">
      <c r="A5" t="s">
        <v>135</v>
      </c>
      <c r="B5">
        <v>2020</v>
      </c>
      <c r="C5" t="s">
        <v>104</v>
      </c>
      <c r="D5" t="s">
        <v>118</v>
      </c>
      <c r="E5" t="s">
        <v>100</v>
      </c>
      <c r="F5" t="s">
        <v>133</v>
      </c>
      <c r="G5" t="s">
        <v>97</v>
      </c>
      <c r="H5">
        <v>2</v>
      </c>
      <c r="L5" t="str">
        <f t="shared" si="0"/>
        <v>2020-LC04O-S-P2</v>
      </c>
    </row>
    <row r="6" spans="1:12" x14ac:dyDescent="0.55000000000000004">
      <c r="A6" t="s">
        <v>127</v>
      </c>
      <c r="B6">
        <v>2021</v>
      </c>
      <c r="C6" t="s">
        <v>105</v>
      </c>
      <c r="D6" t="s">
        <v>119</v>
      </c>
      <c r="E6" t="s">
        <v>100</v>
      </c>
      <c r="F6" t="s">
        <v>94</v>
      </c>
      <c r="G6" t="s">
        <v>96</v>
      </c>
      <c r="H6">
        <v>1</v>
      </c>
      <c r="L6" t="str">
        <f t="shared" si="0"/>
        <v>2021-LC04H-S-P1</v>
      </c>
    </row>
    <row r="7" spans="1:12" x14ac:dyDescent="0.55000000000000004">
      <c r="A7" t="s">
        <v>128</v>
      </c>
      <c r="B7">
        <v>2021</v>
      </c>
      <c r="C7" t="s">
        <v>106</v>
      </c>
      <c r="D7" t="s">
        <v>119</v>
      </c>
      <c r="E7" t="s">
        <v>100</v>
      </c>
      <c r="F7" t="s">
        <v>94</v>
      </c>
      <c r="G7" t="s">
        <v>97</v>
      </c>
      <c r="H7">
        <v>2</v>
      </c>
      <c r="L7" t="str">
        <f t="shared" si="0"/>
        <v>2021-LC04H-S-P2</v>
      </c>
    </row>
    <row r="8" spans="1:12" x14ac:dyDescent="0.55000000000000004">
      <c r="A8" t="s">
        <v>136</v>
      </c>
      <c r="B8">
        <v>2021</v>
      </c>
      <c r="C8" t="s">
        <v>107</v>
      </c>
      <c r="D8" t="s">
        <v>120</v>
      </c>
      <c r="E8" t="s">
        <v>100</v>
      </c>
      <c r="F8" t="s">
        <v>133</v>
      </c>
      <c r="G8" t="s">
        <v>96</v>
      </c>
      <c r="H8">
        <v>1</v>
      </c>
      <c r="L8" t="str">
        <f t="shared" si="0"/>
        <v>2021-LC04O-S-P1</v>
      </c>
    </row>
    <row r="9" spans="1:12" x14ac:dyDescent="0.55000000000000004">
      <c r="A9" t="s">
        <v>137</v>
      </c>
      <c r="B9">
        <v>2021</v>
      </c>
      <c r="C9" t="s">
        <v>108</v>
      </c>
      <c r="D9" t="s">
        <v>120</v>
      </c>
      <c r="E9" t="s">
        <v>100</v>
      </c>
      <c r="F9" t="s">
        <v>133</v>
      </c>
      <c r="G9" t="s">
        <v>97</v>
      </c>
      <c r="H9">
        <v>2</v>
      </c>
      <c r="L9" t="str">
        <f t="shared" si="0"/>
        <v>2021-LC04O-S-P2</v>
      </c>
    </row>
    <row r="10" spans="1:12" x14ac:dyDescent="0.55000000000000004">
      <c r="A10" t="s">
        <v>129</v>
      </c>
      <c r="B10">
        <v>2022</v>
      </c>
      <c r="C10" t="s">
        <v>109</v>
      </c>
      <c r="D10" t="s">
        <v>121</v>
      </c>
      <c r="E10" t="s">
        <v>100</v>
      </c>
      <c r="F10" t="s">
        <v>94</v>
      </c>
      <c r="G10" t="s">
        <v>96</v>
      </c>
      <c r="H10">
        <v>1</v>
      </c>
      <c r="L10" t="str">
        <f t="shared" si="0"/>
        <v>2022-LC04H-S-P1</v>
      </c>
    </row>
    <row r="11" spans="1:12" x14ac:dyDescent="0.55000000000000004">
      <c r="A11" t="s">
        <v>130</v>
      </c>
      <c r="B11">
        <v>2022</v>
      </c>
      <c r="C11" t="s">
        <v>110</v>
      </c>
      <c r="D11" t="s">
        <v>121</v>
      </c>
      <c r="E11" t="s">
        <v>100</v>
      </c>
      <c r="F11" t="s">
        <v>94</v>
      </c>
      <c r="G11" t="s">
        <v>97</v>
      </c>
      <c r="H11">
        <v>2</v>
      </c>
      <c r="L11" t="str">
        <f t="shared" si="0"/>
        <v>2022-LC04H-S-P2</v>
      </c>
    </row>
    <row r="12" spans="1:12" x14ac:dyDescent="0.55000000000000004">
      <c r="A12" t="s">
        <v>138</v>
      </c>
      <c r="B12">
        <v>2022</v>
      </c>
      <c r="C12" t="s">
        <v>111</v>
      </c>
      <c r="D12" t="s">
        <v>122</v>
      </c>
      <c r="E12" t="s">
        <v>100</v>
      </c>
      <c r="F12" t="s">
        <v>133</v>
      </c>
      <c r="G12" t="s">
        <v>96</v>
      </c>
      <c r="H12">
        <v>1</v>
      </c>
      <c r="L12" t="str">
        <f t="shared" si="0"/>
        <v>2022-LC04O-S-P1</v>
      </c>
    </row>
    <row r="13" spans="1:12" x14ac:dyDescent="0.55000000000000004">
      <c r="A13" t="s">
        <v>139</v>
      </c>
      <c r="B13">
        <v>2022</v>
      </c>
      <c r="C13" t="s">
        <v>112</v>
      </c>
      <c r="D13" t="s">
        <v>122</v>
      </c>
      <c r="E13" t="s">
        <v>100</v>
      </c>
      <c r="F13" t="s">
        <v>133</v>
      </c>
      <c r="G13" t="s">
        <v>97</v>
      </c>
      <c r="H13">
        <v>2</v>
      </c>
      <c r="L13" t="str">
        <f t="shared" si="0"/>
        <v>2022-LC04O-S-P2</v>
      </c>
    </row>
    <row r="14" spans="1:12" x14ac:dyDescent="0.55000000000000004">
      <c r="A14" t="s">
        <v>131</v>
      </c>
      <c r="B14">
        <v>2023</v>
      </c>
      <c r="C14" t="s">
        <v>113</v>
      </c>
      <c r="D14" t="s">
        <v>123</v>
      </c>
      <c r="E14" t="s">
        <v>100</v>
      </c>
      <c r="F14" t="s">
        <v>94</v>
      </c>
      <c r="G14" t="s">
        <v>96</v>
      </c>
      <c r="H14">
        <v>1</v>
      </c>
      <c r="L14" t="str">
        <f t="shared" si="0"/>
        <v>2023-LC04H-S-P1</v>
      </c>
    </row>
    <row r="15" spans="1:12" x14ac:dyDescent="0.55000000000000004">
      <c r="A15" t="s">
        <v>132</v>
      </c>
      <c r="B15">
        <v>2023</v>
      </c>
      <c r="C15" t="s">
        <v>114</v>
      </c>
      <c r="D15" t="s">
        <v>123</v>
      </c>
      <c r="E15" t="s">
        <v>100</v>
      </c>
      <c r="F15" t="s">
        <v>94</v>
      </c>
      <c r="G15" t="s">
        <v>97</v>
      </c>
      <c r="H15">
        <v>2</v>
      </c>
      <c r="L15" t="str">
        <f t="shared" si="0"/>
        <v>2023-LC04H-S-P2</v>
      </c>
    </row>
    <row r="16" spans="1:12" x14ac:dyDescent="0.55000000000000004">
      <c r="A16" t="s">
        <v>140</v>
      </c>
      <c r="B16">
        <v>2023</v>
      </c>
      <c r="C16" t="s">
        <v>115</v>
      </c>
      <c r="D16" t="s">
        <v>124</v>
      </c>
      <c r="E16" t="s">
        <v>100</v>
      </c>
      <c r="F16" t="s">
        <v>133</v>
      </c>
      <c r="G16" t="s">
        <v>96</v>
      </c>
      <c r="H16">
        <v>1</v>
      </c>
      <c r="L16" t="str">
        <f t="shared" si="0"/>
        <v>2023-LC04O-S-P1</v>
      </c>
    </row>
    <row r="17" spans="1:12" x14ac:dyDescent="0.55000000000000004">
      <c r="A17" t="s">
        <v>141</v>
      </c>
      <c r="B17">
        <v>2023</v>
      </c>
      <c r="C17" t="s">
        <v>116</v>
      </c>
      <c r="D17" t="s">
        <v>124</v>
      </c>
      <c r="E17" t="s">
        <v>100</v>
      </c>
      <c r="F17" t="s">
        <v>133</v>
      </c>
      <c r="G17" t="s">
        <v>97</v>
      </c>
      <c r="H17">
        <v>2</v>
      </c>
      <c r="L17" t="str">
        <f t="shared" si="0"/>
        <v>2023-LC04O-S-P2</v>
      </c>
    </row>
    <row r="18" spans="1:12" x14ac:dyDescent="0.55000000000000004">
      <c r="A18" t="s">
        <v>98</v>
      </c>
      <c r="B18">
        <v>2024</v>
      </c>
      <c r="C18" t="s">
        <v>84</v>
      </c>
      <c r="D18" t="s">
        <v>82</v>
      </c>
      <c r="E18" t="s">
        <v>100</v>
      </c>
      <c r="F18" t="s">
        <v>94</v>
      </c>
      <c r="G18" t="s">
        <v>96</v>
      </c>
      <c r="H18">
        <v>1</v>
      </c>
      <c r="L18" t="str">
        <f t="shared" si="0"/>
        <v>2024-LC04H-S-P1</v>
      </c>
    </row>
    <row r="19" spans="1:12" x14ac:dyDescent="0.55000000000000004">
      <c r="A19" t="s">
        <v>99</v>
      </c>
      <c r="B19">
        <v>2024</v>
      </c>
      <c r="C19" t="s">
        <v>85</v>
      </c>
      <c r="D19" t="s">
        <v>82</v>
      </c>
      <c r="E19" t="s">
        <v>100</v>
      </c>
      <c r="F19" t="s">
        <v>94</v>
      </c>
      <c r="G19" t="s">
        <v>97</v>
      </c>
      <c r="H19">
        <v>2</v>
      </c>
      <c r="L19" t="str">
        <f t="shared" si="0"/>
        <v>2024-LC04H-S-P2</v>
      </c>
    </row>
    <row r="20" spans="1:12" x14ac:dyDescent="0.55000000000000004">
      <c r="A20" t="s">
        <v>142</v>
      </c>
      <c r="B20">
        <v>2024</v>
      </c>
      <c r="C20" t="s">
        <v>86</v>
      </c>
      <c r="D20" t="s">
        <v>83</v>
      </c>
      <c r="E20" t="s">
        <v>100</v>
      </c>
      <c r="F20" t="s">
        <v>133</v>
      </c>
      <c r="G20" t="s">
        <v>96</v>
      </c>
      <c r="H20">
        <v>1</v>
      </c>
      <c r="L20" t="str">
        <f t="shared" si="0"/>
        <v>2024-LC04O-S-P1</v>
      </c>
    </row>
    <row r="21" spans="1:12" ht="14.7" thickBot="1" x14ac:dyDescent="0.6">
      <c r="A21" t="s">
        <v>143</v>
      </c>
      <c r="B21">
        <v>2024</v>
      </c>
      <c r="C21" t="s">
        <v>87</v>
      </c>
      <c r="D21" t="s">
        <v>83</v>
      </c>
      <c r="E21" t="s">
        <v>100</v>
      </c>
      <c r="F21" t="s">
        <v>133</v>
      </c>
      <c r="G21" t="s">
        <v>97</v>
      </c>
      <c r="H21">
        <v>2</v>
      </c>
      <c r="L21" t="str">
        <f t="shared" si="0"/>
        <v>2024-LC04O-S-P2</v>
      </c>
    </row>
    <row r="22" spans="1:12" x14ac:dyDescent="0.55000000000000004">
      <c r="A22" s="9" t="s">
        <v>178</v>
      </c>
      <c r="B22" s="10">
        <v>2020</v>
      </c>
      <c r="C22" s="10" t="s">
        <v>149</v>
      </c>
      <c r="D22" s="10" t="s">
        <v>144</v>
      </c>
      <c r="E22" s="10" t="s">
        <v>100</v>
      </c>
      <c r="F22" s="10" t="s">
        <v>161</v>
      </c>
      <c r="G22" s="10" t="s">
        <v>159</v>
      </c>
      <c r="H22" s="10">
        <v>1</v>
      </c>
      <c r="I22" s="10"/>
      <c r="J22" s="10"/>
      <c r="K22" s="10"/>
      <c r="L22" s="11" t="s">
        <v>178</v>
      </c>
    </row>
    <row r="23" spans="1:12" x14ac:dyDescent="0.55000000000000004">
      <c r="A23" s="12" t="s">
        <v>179</v>
      </c>
      <c r="B23" s="13">
        <v>2020</v>
      </c>
      <c r="C23" s="13" t="s">
        <v>150</v>
      </c>
      <c r="D23" s="13" t="s">
        <v>144</v>
      </c>
      <c r="E23" s="13" t="s">
        <v>100</v>
      </c>
      <c r="F23" s="13" t="s">
        <v>161</v>
      </c>
      <c r="G23" s="13" t="s">
        <v>160</v>
      </c>
      <c r="H23" s="13">
        <v>2</v>
      </c>
      <c r="I23" s="13"/>
      <c r="J23" s="13"/>
      <c r="K23" s="13"/>
      <c r="L23" s="14" t="s">
        <v>179</v>
      </c>
    </row>
    <row r="24" spans="1:12" x14ac:dyDescent="0.55000000000000004">
      <c r="A24" s="12" t="s">
        <v>180</v>
      </c>
      <c r="B24" s="13">
        <v>2021</v>
      </c>
      <c r="C24" s="13" t="s">
        <v>151</v>
      </c>
      <c r="D24" s="13" t="s">
        <v>145</v>
      </c>
      <c r="E24" s="13" t="s">
        <v>100</v>
      </c>
      <c r="F24" s="13" t="s">
        <v>161</v>
      </c>
      <c r="G24" s="13" t="s">
        <v>159</v>
      </c>
      <c r="H24" s="13">
        <v>1</v>
      </c>
      <c r="I24" s="13"/>
      <c r="J24" s="13"/>
      <c r="K24" s="13"/>
      <c r="L24" s="14" t="s">
        <v>180</v>
      </c>
    </row>
    <row r="25" spans="1:12" x14ac:dyDescent="0.55000000000000004">
      <c r="A25" s="12" t="s">
        <v>181</v>
      </c>
      <c r="B25" s="13">
        <v>2021</v>
      </c>
      <c r="C25" s="13" t="s">
        <v>152</v>
      </c>
      <c r="D25" s="13" t="s">
        <v>145</v>
      </c>
      <c r="E25" s="13" t="s">
        <v>100</v>
      </c>
      <c r="F25" s="13" t="s">
        <v>161</v>
      </c>
      <c r="G25" s="13" t="s">
        <v>160</v>
      </c>
      <c r="H25" s="13">
        <v>2</v>
      </c>
      <c r="I25" s="13"/>
      <c r="J25" s="13"/>
      <c r="K25" s="13"/>
      <c r="L25" s="14" t="s">
        <v>181</v>
      </c>
    </row>
    <row r="26" spans="1:12" x14ac:dyDescent="0.55000000000000004">
      <c r="A26" s="12" t="s">
        <v>182</v>
      </c>
      <c r="B26" s="13">
        <v>2022</v>
      </c>
      <c r="C26" s="13" t="s">
        <v>153</v>
      </c>
      <c r="D26" s="13" t="s">
        <v>146</v>
      </c>
      <c r="E26" s="13" t="s">
        <v>100</v>
      </c>
      <c r="F26" s="13" t="s">
        <v>161</v>
      </c>
      <c r="G26" s="13" t="s">
        <v>159</v>
      </c>
      <c r="H26" s="13">
        <v>1</v>
      </c>
      <c r="I26" s="13"/>
      <c r="J26" s="13"/>
      <c r="K26" s="13"/>
      <c r="L26" s="14" t="s">
        <v>182</v>
      </c>
    </row>
    <row r="27" spans="1:12" x14ac:dyDescent="0.55000000000000004">
      <c r="A27" s="12" t="s">
        <v>183</v>
      </c>
      <c r="B27" s="13">
        <v>2022</v>
      </c>
      <c r="C27" s="13" t="s">
        <v>154</v>
      </c>
      <c r="D27" s="13" t="s">
        <v>146</v>
      </c>
      <c r="E27" s="13" t="s">
        <v>100</v>
      </c>
      <c r="F27" s="13" t="s">
        <v>161</v>
      </c>
      <c r="G27" s="13" t="s">
        <v>160</v>
      </c>
      <c r="H27" s="13">
        <v>2</v>
      </c>
      <c r="I27" s="13"/>
      <c r="J27" s="13"/>
      <c r="K27" s="13"/>
      <c r="L27" s="14" t="s">
        <v>183</v>
      </c>
    </row>
    <row r="28" spans="1:12" x14ac:dyDescent="0.55000000000000004">
      <c r="A28" s="12" t="s">
        <v>184</v>
      </c>
      <c r="B28" s="13">
        <v>2023</v>
      </c>
      <c r="C28" s="13" t="s">
        <v>155</v>
      </c>
      <c r="D28" s="13" t="s">
        <v>147</v>
      </c>
      <c r="E28" s="13" t="s">
        <v>100</v>
      </c>
      <c r="F28" s="13" t="s">
        <v>161</v>
      </c>
      <c r="G28" s="13" t="s">
        <v>159</v>
      </c>
      <c r="H28" s="13">
        <v>1</v>
      </c>
      <c r="I28" s="13"/>
      <c r="J28" s="13"/>
      <c r="K28" s="13"/>
      <c r="L28" s="14" t="s">
        <v>184</v>
      </c>
    </row>
    <row r="29" spans="1:12" x14ac:dyDescent="0.55000000000000004">
      <c r="A29" s="12" t="s">
        <v>185</v>
      </c>
      <c r="B29" s="13">
        <v>2023</v>
      </c>
      <c r="C29" s="13" t="s">
        <v>156</v>
      </c>
      <c r="D29" s="13" t="s">
        <v>147</v>
      </c>
      <c r="E29" s="13" t="s">
        <v>100</v>
      </c>
      <c r="F29" s="13" t="s">
        <v>161</v>
      </c>
      <c r="G29" s="13" t="s">
        <v>160</v>
      </c>
      <c r="H29" s="13">
        <v>2</v>
      </c>
      <c r="I29" s="13"/>
      <c r="J29" s="13"/>
      <c r="K29" s="13"/>
      <c r="L29" s="14" t="s">
        <v>185</v>
      </c>
    </row>
    <row r="30" spans="1:12" x14ac:dyDescent="0.55000000000000004">
      <c r="A30" s="12" t="s">
        <v>186</v>
      </c>
      <c r="B30" s="13">
        <v>2024</v>
      </c>
      <c r="C30" s="13" t="s">
        <v>157</v>
      </c>
      <c r="D30" s="13" t="s">
        <v>148</v>
      </c>
      <c r="E30" s="13" t="s">
        <v>100</v>
      </c>
      <c r="F30" s="13" t="s">
        <v>161</v>
      </c>
      <c r="G30" s="13" t="s">
        <v>159</v>
      </c>
      <c r="H30" s="13">
        <v>1</v>
      </c>
      <c r="I30" s="13"/>
      <c r="J30" s="13"/>
      <c r="K30" s="13"/>
      <c r="L30" s="14" t="s">
        <v>186</v>
      </c>
    </row>
    <row r="31" spans="1:12" x14ac:dyDescent="0.55000000000000004">
      <c r="A31" s="12" t="s">
        <v>187</v>
      </c>
      <c r="B31" s="13">
        <v>2024</v>
      </c>
      <c r="C31" s="13" t="s">
        <v>158</v>
      </c>
      <c r="D31" s="13" t="s">
        <v>148</v>
      </c>
      <c r="E31" s="13" t="s">
        <v>100</v>
      </c>
      <c r="F31" s="13" t="s">
        <v>161</v>
      </c>
      <c r="G31" s="13" t="s">
        <v>160</v>
      </c>
      <c r="H31" s="13">
        <v>2</v>
      </c>
      <c r="I31" s="13"/>
      <c r="J31" s="13"/>
      <c r="K31" s="13"/>
      <c r="L31" s="14" t="s">
        <v>187</v>
      </c>
    </row>
    <row r="32" spans="1:12" x14ac:dyDescent="0.55000000000000004">
      <c r="A32" s="12" t="s">
        <v>188</v>
      </c>
      <c r="B32" s="13">
        <v>2020</v>
      </c>
      <c r="C32" s="13" t="s">
        <v>167</v>
      </c>
      <c r="D32" s="13" t="s">
        <v>162</v>
      </c>
      <c r="E32" s="13" t="s">
        <v>100</v>
      </c>
      <c r="F32" s="13" t="s">
        <v>177</v>
      </c>
      <c r="G32" s="13" t="s">
        <v>159</v>
      </c>
      <c r="H32" s="13">
        <v>1</v>
      </c>
      <c r="I32" s="13"/>
      <c r="J32" s="13"/>
      <c r="K32" s="13"/>
      <c r="L32" s="14" t="s">
        <v>188</v>
      </c>
    </row>
    <row r="33" spans="1:12" x14ac:dyDescent="0.55000000000000004">
      <c r="A33" s="12" t="s">
        <v>189</v>
      </c>
      <c r="B33" s="13">
        <v>2020</v>
      </c>
      <c r="C33" s="13" t="s">
        <v>168</v>
      </c>
      <c r="D33" s="13" t="s">
        <v>162</v>
      </c>
      <c r="E33" s="13" t="s">
        <v>100</v>
      </c>
      <c r="F33" s="13" t="s">
        <v>177</v>
      </c>
      <c r="G33" s="13" t="s">
        <v>160</v>
      </c>
      <c r="H33" s="13">
        <v>2</v>
      </c>
      <c r="I33" s="13"/>
      <c r="J33" s="13"/>
      <c r="K33" s="13"/>
      <c r="L33" s="14" t="s">
        <v>189</v>
      </c>
    </row>
    <row r="34" spans="1:12" x14ac:dyDescent="0.55000000000000004">
      <c r="A34" s="12" t="s">
        <v>190</v>
      </c>
      <c r="B34" s="13">
        <v>2021</v>
      </c>
      <c r="C34" s="13" t="s">
        <v>169</v>
      </c>
      <c r="D34" s="13" t="s">
        <v>163</v>
      </c>
      <c r="E34" s="13" t="s">
        <v>100</v>
      </c>
      <c r="F34" s="13" t="s">
        <v>177</v>
      </c>
      <c r="G34" s="13" t="s">
        <v>159</v>
      </c>
      <c r="H34" s="13">
        <v>1</v>
      </c>
      <c r="I34" s="13"/>
      <c r="J34" s="13"/>
      <c r="K34" s="13"/>
      <c r="L34" s="14" t="s">
        <v>190</v>
      </c>
    </row>
    <row r="35" spans="1:12" x14ac:dyDescent="0.55000000000000004">
      <c r="A35" s="12" t="s">
        <v>191</v>
      </c>
      <c r="B35" s="13">
        <v>2021</v>
      </c>
      <c r="C35" s="13" t="s">
        <v>170</v>
      </c>
      <c r="D35" s="13" t="s">
        <v>163</v>
      </c>
      <c r="E35" s="13" t="s">
        <v>100</v>
      </c>
      <c r="F35" s="13" t="s">
        <v>177</v>
      </c>
      <c r="G35" s="13" t="s">
        <v>160</v>
      </c>
      <c r="H35" s="13">
        <v>2</v>
      </c>
      <c r="I35" s="13"/>
      <c r="J35" s="13"/>
      <c r="K35" s="13"/>
      <c r="L35" s="14" t="s">
        <v>191</v>
      </c>
    </row>
    <row r="36" spans="1:12" x14ac:dyDescent="0.55000000000000004">
      <c r="A36" s="12" t="s">
        <v>192</v>
      </c>
      <c r="B36" s="13">
        <v>2022</v>
      </c>
      <c r="C36" s="13" t="s">
        <v>171</v>
      </c>
      <c r="D36" s="13" t="s">
        <v>164</v>
      </c>
      <c r="E36" s="13" t="s">
        <v>100</v>
      </c>
      <c r="F36" s="13" t="s">
        <v>177</v>
      </c>
      <c r="G36" s="13" t="s">
        <v>159</v>
      </c>
      <c r="H36" s="13">
        <v>1</v>
      </c>
      <c r="I36" s="13"/>
      <c r="J36" s="13"/>
      <c r="K36" s="13"/>
      <c r="L36" s="14" t="s">
        <v>192</v>
      </c>
    </row>
    <row r="37" spans="1:12" x14ac:dyDescent="0.55000000000000004">
      <c r="A37" s="12" t="s">
        <v>193</v>
      </c>
      <c r="B37" s="13">
        <v>2022</v>
      </c>
      <c r="C37" s="13" t="s">
        <v>172</v>
      </c>
      <c r="D37" s="13" t="s">
        <v>164</v>
      </c>
      <c r="E37" s="13" t="s">
        <v>100</v>
      </c>
      <c r="F37" s="13" t="s">
        <v>177</v>
      </c>
      <c r="G37" s="13" t="s">
        <v>160</v>
      </c>
      <c r="H37" s="13">
        <v>2</v>
      </c>
      <c r="I37" s="13"/>
      <c r="J37" s="13"/>
      <c r="K37" s="13"/>
      <c r="L37" s="14" t="s">
        <v>193</v>
      </c>
    </row>
    <row r="38" spans="1:12" x14ac:dyDescent="0.55000000000000004">
      <c r="A38" s="12" t="s">
        <v>194</v>
      </c>
      <c r="B38" s="13">
        <v>2023</v>
      </c>
      <c r="C38" s="13" t="s">
        <v>173</v>
      </c>
      <c r="D38" s="13" t="s">
        <v>165</v>
      </c>
      <c r="E38" s="13" t="s">
        <v>100</v>
      </c>
      <c r="F38" s="13" t="s">
        <v>177</v>
      </c>
      <c r="G38" s="13" t="s">
        <v>159</v>
      </c>
      <c r="H38" s="13">
        <v>1</v>
      </c>
      <c r="I38" s="13"/>
      <c r="J38" s="13"/>
      <c r="K38" s="13"/>
      <c r="L38" s="14" t="s">
        <v>194</v>
      </c>
    </row>
    <row r="39" spans="1:12" x14ac:dyDescent="0.55000000000000004">
      <c r="A39" s="12" t="s">
        <v>195</v>
      </c>
      <c r="B39" s="13">
        <v>2023</v>
      </c>
      <c r="C39" s="13" t="s">
        <v>174</v>
      </c>
      <c r="D39" s="13" t="s">
        <v>165</v>
      </c>
      <c r="E39" s="13" t="s">
        <v>100</v>
      </c>
      <c r="F39" s="13" t="s">
        <v>177</v>
      </c>
      <c r="G39" s="13" t="s">
        <v>160</v>
      </c>
      <c r="H39" s="13">
        <v>2</v>
      </c>
      <c r="I39" s="13"/>
      <c r="J39" s="13"/>
      <c r="K39" s="13"/>
      <c r="L39" s="14" t="s">
        <v>195</v>
      </c>
    </row>
    <row r="40" spans="1:12" x14ac:dyDescent="0.55000000000000004">
      <c r="A40" s="12" t="s">
        <v>196</v>
      </c>
      <c r="B40" s="13">
        <v>2024</v>
      </c>
      <c r="C40" s="13" t="s">
        <v>175</v>
      </c>
      <c r="D40" s="13" t="s">
        <v>166</v>
      </c>
      <c r="E40" s="13" t="s">
        <v>100</v>
      </c>
      <c r="F40" s="13" t="s">
        <v>177</v>
      </c>
      <c r="G40" s="13" t="s">
        <v>159</v>
      </c>
      <c r="H40" s="13">
        <v>1</v>
      </c>
      <c r="I40" s="13"/>
      <c r="J40" s="13"/>
      <c r="K40" s="13"/>
      <c r="L40" s="14" t="s">
        <v>196</v>
      </c>
    </row>
    <row r="41" spans="1:12" ht="14.7" thickBot="1" x14ac:dyDescent="0.6">
      <c r="A41" s="15" t="s">
        <v>197</v>
      </c>
      <c r="B41" s="16">
        <v>2024</v>
      </c>
      <c r="C41" s="16" t="s">
        <v>176</v>
      </c>
      <c r="D41" s="16" t="s">
        <v>166</v>
      </c>
      <c r="E41" s="16" t="s">
        <v>100</v>
      </c>
      <c r="F41" s="16" t="s">
        <v>177</v>
      </c>
      <c r="G41" s="16" t="s">
        <v>160</v>
      </c>
      <c r="H41" s="16">
        <v>2</v>
      </c>
      <c r="I41" s="16"/>
      <c r="J41" s="16"/>
      <c r="K41" s="16"/>
      <c r="L41" s="17" t="s">
        <v>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C7A1-36F7-4FC8-8DFB-8BFB9B6E3284}">
  <dimension ref="A1:O21"/>
  <sheetViews>
    <sheetView workbookViewId="0">
      <pane ySplit="1" topLeftCell="A2" activePane="bottomLeft" state="frozen"/>
      <selection pane="bottomLeft" activeCell="A6" sqref="A6:XFD6"/>
    </sheetView>
  </sheetViews>
  <sheetFormatPr defaultRowHeight="14.4" x14ac:dyDescent="0.55000000000000004"/>
  <cols>
    <col min="1" max="1" width="14.9453125" bestFit="1" customWidth="1"/>
    <col min="5" max="5" width="20.05078125" bestFit="1" customWidth="1"/>
    <col min="6" max="6" width="20.578125" bestFit="1" customWidth="1"/>
    <col min="7" max="7" width="40.26171875" bestFit="1" customWidth="1"/>
    <col min="9" max="9" width="21.5234375" bestFit="1" customWidth="1"/>
    <col min="10" max="10" width="22.05078125" bestFit="1" customWidth="1"/>
  </cols>
  <sheetData>
    <row r="1" spans="1:15" x14ac:dyDescent="0.55000000000000004">
      <c r="A1" t="s">
        <v>354</v>
      </c>
      <c r="B1" t="s">
        <v>353</v>
      </c>
      <c r="C1" t="s">
        <v>356</v>
      </c>
      <c r="D1" t="s">
        <v>505</v>
      </c>
      <c r="E1" t="s">
        <v>357</v>
      </c>
      <c r="F1" t="s">
        <v>355</v>
      </c>
      <c r="I1" t="s">
        <v>361</v>
      </c>
      <c r="J1" t="s">
        <v>362</v>
      </c>
    </row>
    <row r="2" spans="1:15" x14ac:dyDescent="0.55000000000000004">
      <c r="A2" t="s">
        <v>186</v>
      </c>
      <c r="B2" t="s">
        <v>321</v>
      </c>
      <c r="C2">
        <v>1</v>
      </c>
      <c r="D2" t="s">
        <v>159</v>
      </c>
      <c r="E2" t="s">
        <v>363</v>
      </c>
      <c r="F2" t="s">
        <v>364</v>
      </c>
      <c r="I2" t="str">
        <f>_xlfn.CONCAT("q",C2,"-",A2)</f>
        <v>q1-2024-LC01H-S-P1</v>
      </c>
      <c r="J2" t="str">
        <f>REPLACE(I2,1,1,"m")</f>
        <v>m1-2024-LC01H-S-P1</v>
      </c>
    </row>
    <row r="3" spans="1:15" x14ac:dyDescent="0.55000000000000004">
      <c r="A3" t="s">
        <v>186</v>
      </c>
      <c r="B3" t="s">
        <v>324</v>
      </c>
      <c r="C3">
        <v>1</v>
      </c>
      <c r="D3" t="s">
        <v>159</v>
      </c>
      <c r="E3" t="s">
        <v>365</v>
      </c>
      <c r="F3" t="s">
        <v>366</v>
      </c>
      <c r="I3" t="str">
        <f>_xlfn.CONCAT("q",C3,"-",A3)</f>
        <v>q1-2024-LC01H-S-P1</v>
      </c>
      <c r="J3" t="str">
        <f t="shared" ref="J3:J21" si="0">REPLACE(I3,1,1,"m")</f>
        <v>m1-2024-LC01H-S-P1</v>
      </c>
      <c r="O3" s="1"/>
    </row>
    <row r="4" spans="1:15" x14ac:dyDescent="0.55000000000000004">
      <c r="A4" t="s">
        <v>186</v>
      </c>
      <c r="B4" t="s">
        <v>321</v>
      </c>
      <c r="C4">
        <v>1</v>
      </c>
      <c r="D4" t="s">
        <v>159</v>
      </c>
      <c r="E4" t="s">
        <v>367</v>
      </c>
      <c r="F4" t="s">
        <v>368</v>
      </c>
      <c r="I4" t="str">
        <f>_xlfn.CONCAT("q",C4,"-",A4)</f>
        <v>q1-2024-LC01H-S-P1</v>
      </c>
      <c r="J4" t="str">
        <f t="shared" si="0"/>
        <v>m1-2024-LC01H-S-P1</v>
      </c>
      <c r="O4" s="1"/>
    </row>
    <row r="5" spans="1:15" x14ac:dyDescent="0.55000000000000004">
      <c r="A5" t="s">
        <v>186</v>
      </c>
      <c r="B5" t="s">
        <v>323</v>
      </c>
      <c r="C5">
        <v>2</v>
      </c>
      <c r="D5" t="s">
        <v>159</v>
      </c>
      <c r="E5" t="s">
        <v>486</v>
      </c>
      <c r="F5" t="s">
        <v>485</v>
      </c>
      <c r="I5" t="str">
        <f>_xlfn.CONCAT("q",C5,"-",A5)</f>
        <v>q2-2024-LC01H-S-P1</v>
      </c>
      <c r="J5" t="str">
        <f t="shared" si="0"/>
        <v>m2-2024-LC01H-S-P1</v>
      </c>
    </row>
    <row r="6" spans="1:15" x14ac:dyDescent="0.55000000000000004">
      <c r="A6" t="s">
        <v>186</v>
      </c>
      <c r="B6" t="s">
        <v>325</v>
      </c>
      <c r="C6">
        <v>3</v>
      </c>
      <c r="D6" t="s">
        <v>159</v>
      </c>
      <c r="E6" t="s">
        <v>487</v>
      </c>
      <c r="F6" t="s">
        <v>496</v>
      </c>
      <c r="I6" t="str">
        <f t="shared" ref="I6" si="1">_xlfn.CONCAT("q",C6,"-",A6)</f>
        <v>q3-2024-LC01H-S-P1</v>
      </c>
      <c r="J6" t="str">
        <f t="shared" si="0"/>
        <v>m3-2024-LC01H-S-P1</v>
      </c>
    </row>
    <row r="7" spans="1:15" x14ac:dyDescent="0.55000000000000004">
      <c r="A7" t="s">
        <v>186</v>
      </c>
      <c r="B7" t="s">
        <v>325</v>
      </c>
      <c r="C7">
        <v>4</v>
      </c>
      <c r="D7" t="s">
        <v>159</v>
      </c>
      <c r="E7" t="s">
        <v>488</v>
      </c>
      <c r="F7" t="s">
        <v>497</v>
      </c>
    </row>
    <row r="8" spans="1:15" x14ac:dyDescent="0.55000000000000004">
      <c r="A8" t="s">
        <v>186</v>
      </c>
      <c r="B8" t="s">
        <v>318</v>
      </c>
      <c r="C8">
        <v>5</v>
      </c>
      <c r="D8" t="s">
        <v>159</v>
      </c>
      <c r="E8" t="s">
        <v>489</v>
      </c>
      <c r="F8" t="s">
        <v>498</v>
      </c>
      <c r="I8" t="str">
        <f t="shared" ref="I8" si="2">_xlfn.CONCAT("q",C8,"-",A8)</f>
        <v>q5-2024-LC01H-S-P1</v>
      </c>
      <c r="J8" t="str">
        <f t="shared" si="0"/>
        <v>m5-2024-LC01H-S-P1</v>
      </c>
    </row>
    <row r="9" spans="1:15" x14ac:dyDescent="0.55000000000000004">
      <c r="A9" t="s">
        <v>186</v>
      </c>
      <c r="B9" t="s">
        <v>325</v>
      </c>
      <c r="C9">
        <v>5</v>
      </c>
      <c r="D9" t="s">
        <v>159</v>
      </c>
      <c r="E9" t="s">
        <v>385</v>
      </c>
      <c r="F9" t="s">
        <v>386</v>
      </c>
      <c r="I9" t="str">
        <f>_xlfn.CONCAT("q",C9,"-",A9)</f>
        <v>q5-2024-LC01H-S-P1</v>
      </c>
      <c r="J9" t="str">
        <f>REPLACE(I9,1,1,"m")</f>
        <v>m5-2024-LC01H-S-P1</v>
      </c>
    </row>
    <row r="10" spans="1:15" x14ac:dyDescent="0.55000000000000004">
      <c r="A10" t="s">
        <v>186</v>
      </c>
      <c r="B10" t="s">
        <v>320</v>
      </c>
      <c r="C10">
        <v>6</v>
      </c>
      <c r="D10" t="s">
        <v>159</v>
      </c>
      <c r="E10" t="s">
        <v>387</v>
      </c>
      <c r="F10" t="s">
        <v>388</v>
      </c>
      <c r="I10" t="str">
        <f>_xlfn.CONCAT("q",C10,"-",A10)</f>
        <v>q6-2024-LC01H-S-P1</v>
      </c>
      <c r="J10" t="str">
        <f>REPLACE(I10,1,1,"m")</f>
        <v>m6-2024-LC01H-S-P1</v>
      </c>
    </row>
    <row r="11" spans="1:15" x14ac:dyDescent="0.55000000000000004">
      <c r="A11" t="s">
        <v>186</v>
      </c>
      <c r="B11" t="s">
        <v>325</v>
      </c>
      <c r="C11">
        <v>6</v>
      </c>
      <c r="D11" t="s">
        <v>159</v>
      </c>
      <c r="E11" t="s">
        <v>490</v>
      </c>
      <c r="F11" t="s">
        <v>499</v>
      </c>
      <c r="I11" t="str">
        <f>_xlfn.CONCAT("q",C11,"-",A11)</f>
        <v>q6-2024-LC01H-S-P1</v>
      </c>
      <c r="J11" t="str">
        <f>REPLACE(I11,1,1,"m")</f>
        <v>m6-2024-LC01H-S-P1</v>
      </c>
    </row>
    <row r="12" spans="1:15" x14ac:dyDescent="0.55000000000000004">
      <c r="A12" t="s">
        <v>186</v>
      </c>
      <c r="B12" t="s">
        <v>318</v>
      </c>
      <c r="C12">
        <v>7</v>
      </c>
      <c r="D12" t="s">
        <v>159</v>
      </c>
      <c r="E12" t="s">
        <v>491</v>
      </c>
      <c r="F12" t="s">
        <v>500</v>
      </c>
      <c r="I12" t="str">
        <f>_xlfn.CONCAT("q",C12,"-",A12)</f>
        <v>q7-2024-LC01H-S-P1</v>
      </c>
      <c r="J12" t="str">
        <f>REPLACE(I12,1,1,"m")</f>
        <v>m7-2024-LC01H-S-P1</v>
      </c>
    </row>
    <row r="13" spans="1:15" x14ac:dyDescent="0.55000000000000004">
      <c r="A13" t="s">
        <v>186</v>
      </c>
      <c r="B13" t="s">
        <v>325</v>
      </c>
      <c r="C13">
        <v>7</v>
      </c>
      <c r="D13" t="s">
        <v>159</v>
      </c>
      <c r="E13" t="s">
        <v>492</v>
      </c>
      <c r="F13" t="s">
        <v>501</v>
      </c>
      <c r="I13" t="str">
        <f>_xlfn.CONCAT("q",C13,"-",A13)</f>
        <v>q7-2024-LC01H-S-P1</v>
      </c>
      <c r="J13" t="str">
        <f>REPLACE(I13,1,1,"m")</f>
        <v>m7-2024-LC01H-S-P1</v>
      </c>
    </row>
    <row r="14" spans="1:15" x14ac:dyDescent="0.55000000000000004">
      <c r="A14" t="s">
        <v>186</v>
      </c>
      <c r="B14" t="s">
        <v>324</v>
      </c>
      <c r="C14">
        <v>8</v>
      </c>
      <c r="D14" t="s">
        <v>159</v>
      </c>
      <c r="E14" t="s">
        <v>493</v>
      </c>
      <c r="F14" t="s">
        <v>502</v>
      </c>
      <c r="I14" t="str">
        <f t="shared" ref="I14:I21" si="3">_xlfn.CONCAT("q",C14,"-",A14)</f>
        <v>q8-2024-LC01H-S-P1</v>
      </c>
      <c r="J14" t="str">
        <f t="shared" si="0"/>
        <v>m8-2024-LC01H-S-P1</v>
      </c>
    </row>
    <row r="15" spans="1:15" x14ac:dyDescent="0.55000000000000004">
      <c r="A15" t="s">
        <v>186</v>
      </c>
      <c r="B15" t="s">
        <v>325</v>
      </c>
      <c r="C15">
        <v>8</v>
      </c>
      <c r="D15" t="s">
        <v>159</v>
      </c>
      <c r="E15" t="s">
        <v>465</v>
      </c>
      <c r="F15" t="s">
        <v>466</v>
      </c>
      <c r="I15" t="str">
        <f t="shared" si="3"/>
        <v>q8-2024-LC01H-S-P1</v>
      </c>
      <c r="J15" t="str">
        <f t="shared" si="0"/>
        <v>m8-2024-LC01H-S-P1</v>
      </c>
    </row>
    <row r="16" spans="1:15" x14ac:dyDescent="0.55000000000000004">
      <c r="A16" t="s">
        <v>186</v>
      </c>
      <c r="B16" t="s">
        <v>319</v>
      </c>
      <c r="C16">
        <v>9</v>
      </c>
      <c r="D16" t="s">
        <v>159</v>
      </c>
      <c r="E16" t="s">
        <v>494</v>
      </c>
      <c r="F16" t="s">
        <v>503</v>
      </c>
      <c r="I16" t="str">
        <f t="shared" si="3"/>
        <v>q9-2024-LC01H-S-P1</v>
      </c>
      <c r="J16" t="str">
        <f t="shared" si="0"/>
        <v>m9-2024-LC01H-S-P1</v>
      </c>
    </row>
    <row r="17" spans="1:10" x14ac:dyDescent="0.55000000000000004">
      <c r="A17" t="s">
        <v>186</v>
      </c>
      <c r="B17" t="s">
        <v>325</v>
      </c>
      <c r="C17">
        <v>9</v>
      </c>
      <c r="D17" t="s">
        <v>159</v>
      </c>
      <c r="E17" t="s">
        <v>401</v>
      </c>
      <c r="F17" t="s">
        <v>402</v>
      </c>
      <c r="I17" t="str">
        <f t="shared" si="3"/>
        <v>q9-2024-LC01H-S-P1</v>
      </c>
      <c r="J17" t="str">
        <f t="shared" si="0"/>
        <v>m9-2024-LC01H-S-P1</v>
      </c>
    </row>
    <row r="18" spans="1:10" x14ac:dyDescent="0.55000000000000004">
      <c r="A18" t="s">
        <v>186</v>
      </c>
      <c r="B18" t="s">
        <v>320</v>
      </c>
      <c r="C18">
        <v>9</v>
      </c>
      <c r="D18" t="s">
        <v>159</v>
      </c>
      <c r="E18" t="s">
        <v>403</v>
      </c>
      <c r="F18" t="s">
        <v>404</v>
      </c>
      <c r="I18" t="str">
        <f t="shared" si="3"/>
        <v>q9-2024-LC01H-S-P1</v>
      </c>
      <c r="J18" t="str">
        <f t="shared" si="0"/>
        <v>m9-2024-LC01H-S-P1</v>
      </c>
    </row>
    <row r="19" spans="1:10" x14ac:dyDescent="0.55000000000000004">
      <c r="A19" t="s">
        <v>186</v>
      </c>
      <c r="B19" t="s">
        <v>324</v>
      </c>
      <c r="C19">
        <v>10</v>
      </c>
      <c r="D19" t="s">
        <v>159</v>
      </c>
      <c r="E19" t="s">
        <v>405</v>
      </c>
      <c r="F19" t="s">
        <v>406</v>
      </c>
      <c r="I19" t="str">
        <f t="shared" si="3"/>
        <v>q10-2024-LC01H-S-P1</v>
      </c>
      <c r="J19" t="str">
        <f t="shared" si="0"/>
        <v>m10-2024-LC01H-S-P1</v>
      </c>
    </row>
    <row r="20" spans="1:10" x14ac:dyDescent="0.55000000000000004">
      <c r="A20" t="s">
        <v>186</v>
      </c>
      <c r="B20" t="s">
        <v>325</v>
      </c>
      <c r="C20">
        <v>10</v>
      </c>
      <c r="D20" t="s">
        <v>159</v>
      </c>
      <c r="E20" t="s">
        <v>495</v>
      </c>
      <c r="F20" t="s">
        <v>504</v>
      </c>
      <c r="I20" t="str">
        <f t="shared" si="3"/>
        <v>q10-2024-LC01H-S-P1</v>
      </c>
      <c r="J20" t="str">
        <f t="shared" si="0"/>
        <v>m10-2024-LC01H-S-P1</v>
      </c>
    </row>
    <row r="21" spans="1:10" x14ac:dyDescent="0.55000000000000004">
      <c r="A21" t="s">
        <v>186</v>
      </c>
      <c r="B21" t="s">
        <v>320</v>
      </c>
      <c r="C21">
        <v>10</v>
      </c>
      <c r="D21" t="s">
        <v>159</v>
      </c>
      <c r="E21" t="s">
        <v>411</v>
      </c>
      <c r="F21" t="s">
        <v>412</v>
      </c>
      <c r="I21" t="str">
        <f t="shared" si="3"/>
        <v>q10-2024-LC01H-S-P1</v>
      </c>
      <c r="J21" t="str">
        <f t="shared" si="0"/>
        <v>m10-2024-LC01H-S-P1</v>
      </c>
    </row>
  </sheetData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4B1C-9183-4A33-A723-700FED3C4E52}">
  <dimension ref="A1:O40"/>
  <sheetViews>
    <sheetView workbookViewId="0">
      <pane ySplit="1" topLeftCell="A7" activePane="bottomLeft" state="frozen"/>
      <selection pane="bottomLeft" activeCell="A7" sqref="A7:D35"/>
    </sheetView>
  </sheetViews>
  <sheetFormatPr defaultRowHeight="14.4" x14ac:dyDescent="0.55000000000000004"/>
  <cols>
    <col min="1" max="1" width="14.9453125" bestFit="1" customWidth="1"/>
    <col min="5" max="5" width="20.05078125" bestFit="1" customWidth="1"/>
    <col min="6" max="6" width="20.578125" bestFit="1" customWidth="1"/>
    <col min="7" max="7" width="40.26171875" bestFit="1" customWidth="1"/>
    <col min="9" max="9" width="21.5234375" bestFit="1" customWidth="1"/>
    <col min="10" max="10" width="22.05078125" bestFit="1" customWidth="1"/>
  </cols>
  <sheetData>
    <row r="1" spans="1:15" x14ac:dyDescent="0.55000000000000004">
      <c r="A1" t="s">
        <v>354</v>
      </c>
      <c r="B1" t="s">
        <v>353</v>
      </c>
      <c r="C1" t="s">
        <v>356</v>
      </c>
      <c r="D1" t="s">
        <v>358</v>
      </c>
      <c r="E1" t="s">
        <v>357</v>
      </c>
      <c r="F1" t="s">
        <v>355</v>
      </c>
      <c r="I1" t="s">
        <v>361</v>
      </c>
      <c r="J1" t="s">
        <v>362</v>
      </c>
    </row>
    <row r="2" spans="1:15" x14ac:dyDescent="0.55000000000000004">
      <c r="A2" t="s">
        <v>186</v>
      </c>
      <c r="B2" t="s">
        <v>321</v>
      </c>
      <c r="C2" t="s">
        <v>433</v>
      </c>
      <c r="D2" t="s">
        <v>359</v>
      </c>
      <c r="E2" t="s">
        <v>363</v>
      </c>
      <c r="F2" t="s">
        <v>364</v>
      </c>
      <c r="I2" t="str">
        <f t="shared" ref="I2:I40" si="0">_xlfn.CONCAT("q",C2,"-",A2)</f>
        <v>q1a-2024-LC01H-S-P1</v>
      </c>
      <c r="J2" t="str">
        <f>REPLACE(I2,1,1,"m")</f>
        <v>m1a-2024-LC01H-S-P1</v>
      </c>
    </row>
    <row r="3" spans="1:15" x14ac:dyDescent="0.55000000000000004">
      <c r="A3" t="s">
        <v>186</v>
      </c>
      <c r="B3" t="s">
        <v>324</v>
      </c>
      <c r="C3" t="s">
        <v>434</v>
      </c>
      <c r="D3" t="s">
        <v>359</v>
      </c>
      <c r="E3" t="s">
        <v>365</v>
      </c>
      <c r="F3" t="s">
        <v>366</v>
      </c>
      <c r="I3" t="str">
        <f t="shared" si="0"/>
        <v>q1b-2024-LC01H-S-P1</v>
      </c>
      <c r="J3" t="str">
        <f t="shared" ref="J3:J40" si="1">REPLACE(I3,1,1,"m")</f>
        <v>m1b-2024-LC01H-S-P1</v>
      </c>
      <c r="O3" s="1"/>
    </row>
    <row r="4" spans="1:15" x14ac:dyDescent="0.55000000000000004">
      <c r="A4" t="s">
        <v>186</v>
      </c>
      <c r="B4" t="s">
        <v>321</v>
      </c>
      <c r="C4" t="s">
        <v>435</v>
      </c>
      <c r="D4" t="s">
        <v>359</v>
      </c>
      <c r="E4" t="s">
        <v>367</v>
      </c>
      <c r="F4" t="s">
        <v>368</v>
      </c>
      <c r="I4" t="str">
        <f t="shared" si="0"/>
        <v>q1c-2024-LC01H-S-P1</v>
      </c>
      <c r="J4" t="str">
        <f t="shared" si="1"/>
        <v>m1c-2024-LC01H-S-P1</v>
      </c>
      <c r="O4" s="1"/>
    </row>
    <row r="5" spans="1:15" x14ac:dyDescent="0.55000000000000004">
      <c r="A5" t="s">
        <v>186</v>
      </c>
      <c r="B5" t="s">
        <v>323</v>
      </c>
      <c r="C5" t="s">
        <v>436</v>
      </c>
      <c r="D5" t="s">
        <v>359</v>
      </c>
      <c r="E5" t="s">
        <v>483</v>
      </c>
      <c r="F5" t="s">
        <v>484</v>
      </c>
      <c r="I5" t="str">
        <f t="shared" si="0"/>
        <v>q2a-2024-LC01H-S-P1</v>
      </c>
      <c r="J5" t="str">
        <f t="shared" si="1"/>
        <v>m2a-2024-LC01H-S-P1</v>
      </c>
    </row>
    <row r="6" spans="1:15" x14ac:dyDescent="0.55000000000000004">
      <c r="A6" t="s">
        <v>186</v>
      </c>
      <c r="B6" t="s">
        <v>323</v>
      </c>
      <c r="C6" t="s">
        <v>471</v>
      </c>
      <c r="D6" t="s">
        <v>359</v>
      </c>
      <c r="E6" t="s">
        <v>477</v>
      </c>
      <c r="F6" t="s">
        <v>478</v>
      </c>
      <c r="I6" t="str">
        <f t="shared" si="0"/>
        <v>q2c-2024-LC01H-S-P1</v>
      </c>
      <c r="J6" t="str">
        <f t="shared" si="1"/>
        <v>m2c-2024-LC01H-S-P1</v>
      </c>
    </row>
    <row r="7" spans="1:15" x14ac:dyDescent="0.55000000000000004">
      <c r="A7" t="s">
        <v>186</v>
      </c>
      <c r="B7" t="s">
        <v>325</v>
      </c>
      <c r="C7" t="s">
        <v>437</v>
      </c>
      <c r="D7" t="s">
        <v>359</v>
      </c>
      <c r="E7" t="s">
        <v>369</v>
      </c>
      <c r="F7" t="s">
        <v>370</v>
      </c>
      <c r="I7" t="str">
        <f t="shared" si="0"/>
        <v>q3a-2024-LC01H-S-P1</v>
      </c>
      <c r="J7" t="str">
        <f t="shared" si="1"/>
        <v>m3a-2024-LC01H-S-P1</v>
      </c>
    </row>
    <row r="8" spans="1:15" x14ac:dyDescent="0.55000000000000004">
      <c r="A8" t="s">
        <v>186</v>
      </c>
      <c r="B8" t="s">
        <v>325</v>
      </c>
      <c r="C8" t="s">
        <v>456</v>
      </c>
      <c r="D8" t="s">
        <v>359</v>
      </c>
      <c r="E8" t="s">
        <v>371</v>
      </c>
      <c r="F8" t="s">
        <v>372</v>
      </c>
      <c r="I8" t="str">
        <f t="shared" si="0"/>
        <v>q3b-2024-LC01H-S-P1</v>
      </c>
      <c r="J8" t="str">
        <f t="shared" si="1"/>
        <v>m3b-2024-LC01H-S-P1</v>
      </c>
    </row>
    <row r="9" spans="1:15" x14ac:dyDescent="0.55000000000000004">
      <c r="A9" t="s">
        <v>186</v>
      </c>
      <c r="B9" t="s">
        <v>325</v>
      </c>
      <c r="C9" t="s">
        <v>438</v>
      </c>
      <c r="D9" t="s">
        <v>359</v>
      </c>
      <c r="E9" t="s">
        <v>373</v>
      </c>
      <c r="F9" t="s">
        <v>374</v>
      </c>
      <c r="I9" t="str">
        <f t="shared" si="0"/>
        <v>q3c-2024-LC01H-S-P1</v>
      </c>
      <c r="J9" t="str">
        <f t="shared" si="1"/>
        <v>m3c-2024-LC01H-S-P1</v>
      </c>
    </row>
    <row r="10" spans="1:15" x14ac:dyDescent="0.55000000000000004">
      <c r="A10" t="s">
        <v>186</v>
      </c>
      <c r="B10" t="s">
        <v>325</v>
      </c>
      <c r="C10" t="s">
        <v>439</v>
      </c>
      <c r="D10" t="s">
        <v>359</v>
      </c>
      <c r="E10" t="s">
        <v>375</v>
      </c>
      <c r="F10" t="s">
        <v>376</v>
      </c>
      <c r="I10" t="str">
        <f t="shared" si="0"/>
        <v>q4a-2024-LC01H-S-P1</v>
      </c>
      <c r="J10" t="str">
        <f t="shared" si="1"/>
        <v>m4a-2024-LC01H-S-P1</v>
      </c>
    </row>
    <row r="11" spans="1:15" x14ac:dyDescent="0.55000000000000004">
      <c r="A11" t="s">
        <v>186</v>
      </c>
      <c r="B11" t="s">
        <v>325</v>
      </c>
      <c r="C11" t="s">
        <v>440</v>
      </c>
      <c r="D11" t="s">
        <v>359</v>
      </c>
      <c r="E11" t="s">
        <v>377</v>
      </c>
      <c r="F11" t="s">
        <v>378</v>
      </c>
      <c r="I11" t="str">
        <f t="shared" si="0"/>
        <v>q4b-2024-LC01H-S-P1</v>
      </c>
      <c r="J11" t="str">
        <f t="shared" si="1"/>
        <v>m4b-2024-LC01H-S-P1</v>
      </c>
    </row>
    <row r="12" spans="1:15" x14ac:dyDescent="0.55000000000000004">
      <c r="A12" t="s">
        <v>186</v>
      </c>
      <c r="B12" t="s">
        <v>325</v>
      </c>
      <c r="C12" t="s">
        <v>441</v>
      </c>
      <c r="D12" t="s">
        <v>359</v>
      </c>
      <c r="E12" t="s">
        <v>379</v>
      </c>
      <c r="F12" t="s">
        <v>380</v>
      </c>
      <c r="I12" t="str">
        <f t="shared" si="0"/>
        <v>q4c-2024-LC01H-S-P1</v>
      </c>
      <c r="J12" t="str">
        <f t="shared" si="1"/>
        <v>m4c-2024-LC01H-S-P1</v>
      </c>
    </row>
    <row r="13" spans="1:15" x14ac:dyDescent="0.55000000000000004">
      <c r="A13" t="s">
        <v>186</v>
      </c>
      <c r="B13" t="s">
        <v>318</v>
      </c>
      <c r="C13" t="s">
        <v>442</v>
      </c>
      <c r="D13" t="s">
        <v>359</v>
      </c>
      <c r="E13" t="s">
        <v>381</v>
      </c>
      <c r="F13" t="s">
        <v>382</v>
      </c>
      <c r="I13" t="str">
        <f t="shared" si="0"/>
        <v>q5a-2024-LC01H-S-P1</v>
      </c>
      <c r="J13" t="str">
        <f t="shared" si="1"/>
        <v>m5a-2024-LC01H-S-P1</v>
      </c>
    </row>
    <row r="14" spans="1:15" x14ac:dyDescent="0.55000000000000004">
      <c r="A14" t="s">
        <v>186</v>
      </c>
      <c r="B14" t="s">
        <v>318</v>
      </c>
      <c r="C14" t="s">
        <v>443</v>
      </c>
      <c r="D14" t="s">
        <v>359</v>
      </c>
      <c r="E14" t="s">
        <v>383</v>
      </c>
      <c r="F14" t="s">
        <v>384</v>
      </c>
      <c r="I14" t="str">
        <f t="shared" si="0"/>
        <v>q5b-2024-LC01H-S-P1</v>
      </c>
      <c r="J14" t="str">
        <f t="shared" si="1"/>
        <v>m5b-2024-LC01H-S-P1</v>
      </c>
    </row>
    <row r="15" spans="1:15" x14ac:dyDescent="0.55000000000000004">
      <c r="A15" t="s">
        <v>186</v>
      </c>
      <c r="B15" t="s">
        <v>325</v>
      </c>
      <c r="C15" t="s">
        <v>457</v>
      </c>
      <c r="D15" t="s">
        <v>359</v>
      </c>
      <c r="E15" t="s">
        <v>385</v>
      </c>
      <c r="F15" t="s">
        <v>386</v>
      </c>
      <c r="I15" t="str">
        <f t="shared" si="0"/>
        <v>q5c-2024-LC01H-S-P1</v>
      </c>
      <c r="J15" t="str">
        <f t="shared" si="1"/>
        <v>m5c-2024-LC01H-S-P1</v>
      </c>
    </row>
    <row r="16" spans="1:15" x14ac:dyDescent="0.55000000000000004">
      <c r="A16" t="s">
        <v>186</v>
      </c>
      <c r="B16" t="s">
        <v>320</v>
      </c>
      <c r="C16" t="s">
        <v>444</v>
      </c>
      <c r="D16" t="s">
        <v>359</v>
      </c>
      <c r="E16" t="s">
        <v>387</v>
      </c>
      <c r="F16" t="s">
        <v>388</v>
      </c>
      <c r="I16" t="str">
        <f t="shared" si="0"/>
        <v>q6a-2024-LC01H-S-P1</v>
      </c>
      <c r="J16" t="str">
        <f t="shared" si="1"/>
        <v>m6a-2024-LC01H-S-P1</v>
      </c>
    </row>
    <row r="17" spans="1:10" x14ac:dyDescent="0.55000000000000004">
      <c r="A17" t="s">
        <v>186</v>
      </c>
      <c r="B17" t="s">
        <v>325</v>
      </c>
      <c r="C17" t="s">
        <v>472</v>
      </c>
      <c r="D17" t="s">
        <v>359</v>
      </c>
      <c r="E17" t="s">
        <v>389</v>
      </c>
      <c r="F17" t="s">
        <v>390</v>
      </c>
      <c r="I17" t="str">
        <f t="shared" si="0"/>
        <v>q6b-2024-LC01H-S-P1</v>
      </c>
      <c r="J17" t="str">
        <f t="shared" si="1"/>
        <v>m6b-2024-LC01H-S-P1</v>
      </c>
    </row>
    <row r="18" spans="1:10" x14ac:dyDescent="0.55000000000000004">
      <c r="A18" t="s">
        <v>186</v>
      </c>
      <c r="B18" t="s">
        <v>325</v>
      </c>
      <c r="C18" t="s">
        <v>473</v>
      </c>
      <c r="D18" t="s">
        <v>359</v>
      </c>
      <c r="E18" t="s">
        <v>479</v>
      </c>
      <c r="F18" t="s">
        <v>480</v>
      </c>
      <c r="I18" t="str">
        <f t="shared" si="0"/>
        <v>q6c-2024-LC01H-S-P1</v>
      </c>
      <c r="J18" t="str">
        <f t="shared" si="1"/>
        <v>m6c-2024-LC01H-S-P1</v>
      </c>
    </row>
    <row r="19" spans="1:10" x14ac:dyDescent="0.55000000000000004">
      <c r="A19" t="s">
        <v>186</v>
      </c>
      <c r="B19" t="s">
        <v>318</v>
      </c>
      <c r="C19" t="s">
        <v>445</v>
      </c>
      <c r="D19" t="s">
        <v>360</v>
      </c>
      <c r="E19" t="s">
        <v>391</v>
      </c>
      <c r="F19" t="s">
        <v>392</v>
      </c>
      <c r="I19" t="str">
        <f t="shared" si="0"/>
        <v>q7a-2024-LC01H-S-P1</v>
      </c>
      <c r="J19" t="str">
        <f t="shared" si="1"/>
        <v>m7a-2024-LC01H-S-P1</v>
      </c>
    </row>
    <row r="20" spans="1:10" x14ac:dyDescent="0.55000000000000004">
      <c r="A20" t="s">
        <v>186</v>
      </c>
      <c r="B20" t="s">
        <v>318</v>
      </c>
      <c r="C20" t="s">
        <v>458</v>
      </c>
      <c r="D20" t="s">
        <v>360</v>
      </c>
      <c r="E20" t="s">
        <v>393</v>
      </c>
      <c r="F20" t="s">
        <v>394</v>
      </c>
      <c r="I20" t="str">
        <f t="shared" si="0"/>
        <v>q7b-2024-LC01H-S-P1</v>
      </c>
      <c r="J20" t="str">
        <f t="shared" si="1"/>
        <v>m7b-2024-LC01H-S-P1</v>
      </c>
    </row>
    <row r="21" spans="1:10" x14ac:dyDescent="0.55000000000000004">
      <c r="A21" t="s">
        <v>186</v>
      </c>
      <c r="B21" t="s">
        <v>325</v>
      </c>
      <c r="C21" t="s">
        <v>459</v>
      </c>
      <c r="D21" t="s">
        <v>360</v>
      </c>
      <c r="E21" t="s">
        <v>395</v>
      </c>
      <c r="F21" t="s">
        <v>396</v>
      </c>
      <c r="I21" t="str">
        <f t="shared" si="0"/>
        <v>q7c-2024-LC01H-S-P1</v>
      </c>
      <c r="J21" t="str">
        <f t="shared" si="1"/>
        <v>m7c-2024-LC01H-S-P1</v>
      </c>
    </row>
    <row r="22" spans="1:10" x14ac:dyDescent="0.55000000000000004">
      <c r="A22" t="s">
        <v>186</v>
      </c>
      <c r="B22" t="s">
        <v>324</v>
      </c>
      <c r="C22" t="s">
        <v>460</v>
      </c>
      <c r="D22" t="s">
        <v>360</v>
      </c>
      <c r="E22" t="s">
        <v>397</v>
      </c>
      <c r="F22" t="s">
        <v>398</v>
      </c>
      <c r="I22" t="str">
        <f t="shared" si="0"/>
        <v>q8a-2024-LC01H-S-P1</v>
      </c>
      <c r="J22" t="str">
        <f t="shared" si="1"/>
        <v>m8a-2024-LC01H-S-P1</v>
      </c>
    </row>
    <row r="23" spans="1:10" x14ac:dyDescent="0.55000000000000004">
      <c r="A23" t="s">
        <v>186</v>
      </c>
      <c r="B23" t="s">
        <v>324</v>
      </c>
      <c r="C23" t="s">
        <v>446</v>
      </c>
      <c r="D23" t="s">
        <v>360</v>
      </c>
      <c r="E23" t="s">
        <v>399</v>
      </c>
      <c r="F23" t="s">
        <v>400</v>
      </c>
      <c r="I23" t="str">
        <f t="shared" si="0"/>
        <v>q8b-2024-LC01H-S-P1</v>
      </c>
      <c r="J23" t="str">
        <f t="shared" si="1"/>
        <v>m8b-2024-LC01H-S-P1</v>
      </c>
    </row>
    <row r="24" spans="1:10" x14ac:dyDescent="0.55000000000000004">
      <c r="A24" t="s">
        <v>186</v>
      </c>
      <c r="B24" t="s">
        <v>324</v>
      </c>
      <c r="C24" t="s">
        <v>447</v>
      </c>
      <c r="D24" t="s">
        <v>360</v>
      </c>
      <c r="E24" t="s">
        <v>461</v>
      </c>
      <c r="F24" t="s">
        <v>462</v>
      </c>
      <c r="I24" t="str">
        <f t="shared" si="0"/>
        <v>q8c-2024-LC01H-S-P1</v>
      </c>
      <c r="J24" t="str">
        <f t="shared" si="1"/>
        <v>m8c-2024-LC01H-S-P1</v>
      </c>
    </row>
    <row r="25" spans="1:10" x14ac:dyDescent="0.55000000000000004">
      <c r="A25" t="s">
        <v>186</v>
      </c>
      <c r="B25" t="s">
        <v>324</v>
      </c>
      <c r="C25" t="s">
        <v>448</v>
      </c>
      <c r="D25" t="s">
        <v>360</v>
      </c>
      <c r="E25" t="s">
        <v>463</v>
      </c>
      <c r="F25" t="s">
        <v>464</v>
      </c>
      <c r="I25" t="str">
        <f t="shared" si="0"/>
        <v>q8d-2024-LC01H-S-P1</v>
      </c>
      <c r="J25" t="str">
        <f t="shared" si="1"/>
        <v>m8d-2024-LC01H-S-P1</v>
      </c>
    </row>
    <row r="26" spans="1:10" x14ac:dyDescent="0.55000000000000004">
      <c r="A26" t="s">
        <v>186</v>
      </c>
      <c r="B26" t="s">
        <v>325</v>
      </c>
      <c r="C26" t="s">
        <v>449</v>
      </c>
      <c r="D26" t="s">
        <v>360</v>
      </c>
      <c r="E26" t="s">
        <v>465</v>
      </c>
      <c r="F26" t="s">
        <v>466</v>
      </c>
      <c r="I26" t="str">
        <f t="shared" si="0"/>
        <v>q8e-2024-LC01H-S-P1</v>
      </c>
      <c r="J26" t="str">
        <f t="shared" si="1"/>
        <v>m8e-2024-LC01H-S-P1</v>
      </c>
    </row>
    <row r="27" spans="1:10" x14ac:dyDescent="0.55000000000000004">
      <c r="A27" t="s">
        <v>186</v>
      </c>
      <c r="B27" t="s">
        <v>319</v>
      </c>
      <c r="C27" t="s">
        <v>450</v>
      </c>
      <c r="D27" t="s">
        <v>360</v>
      </c>
      <c r="E27" t="s">
        <v>467</v>
      </c>
      <c r="F27" t="s">
        <v>468</v>
      </c>
      <c r="I27" t="str">
        <f t="shared" si="0"/>
        <v>q9a-2024-LC01H-S-P1</v>
      </c>
      <c r="J27" t="str">
        <f t="shared" si="1"/>
        <v>m9a-2024-LC01H-S-P1</v>
      </c>
    </row>
    <row r="28" spans="1:10" x14ac:dyDescent="0.55000000000000004">
      <c r="A28" t="s">
        <v>186</v>
      </c>
      <c r="B28" t="s">
        <v>319</v>
      </c>
      <c r="C28" t="s">
        <v>474</v>
      </c>
      <c r="D28" t="s">
        <v>360</v>
      </c>
      <c r="E28" t="s">
        <v>481</v>
      </c>
      <c r="F28" t="s">
        <v>482</v>
      </c>
      <c r="I28" t="str">
        <f t="shared" si="0"/>
        <v>q9b-2024-LC01H-S-P1</v>
      </c>
      <c r="J28" t="str">
        <f t="shared" si="1"/>
        <v>m9b-2024-LC01H-S-P1</v>
      </c>
    </row>
    <row r="29" spans="1:10" x14ac:dyDescent="0.55000000000000004">
      <c r="A29" t="s">
        <v>186</v>
      </c>
      <c r="B29" t="s">
        <v>319</v>
      </c>
      <c r="C29" t="s">
        <v>451</v>
      </c>
      <c r="D29" t="s">
        <v>360</v>
      </c>
      <c r="E29" t="s">
        <v>469</v>
      </c>
      <c r="F29" t="s">
        <v>470</v>
      </c>
      <c r="I29" t="str">
        <f t="shared" si="0"/>
        <v>q9c-2024-LC01H-S-P1</v>
      </c>
      <c r="J29" t="str">
        <f t="shared" si="1"/>
        <v>m9c-2024-LC01H-S-P1</v>
      </c>
    </row>
    <row r="30" spans="1:10" x14ac:dyDescent="0.55000000000000004">
      <c r="A30" t="s">
        <v>186</v>
      </c>
      <c r="B30" t="s">
        <v>325</v>
      </c>
      <c r="C30" t="s">
        <v>452</v>
      </c>
      <c r="D30" t="s">
        <v>360</v>
      </c>
      <c r="E30" t="s">
        <v>401</v>
      </c>
      <c r="F30" t="s">
        <v>402</v>
      </c>
      <c r="I30" t="str">
        <f t="shared" si="0"/>
        <v>q9d-2024-LC01H-S-P1</v>
      </c>
      <c r="J30" t="str">
        <f t="shared" si="1"/>
        <v>m9d-2024-LC01H-S-P1</v>
      </c>
    </row>
    <row r="31" spans="1:10" x14ac:dyDescent="0.55000000000000004">
      <c r="A31" t="s">
        <v>186</v>
      </c>
      <c r="B31" t="s">
        <v>320</v>
      </c>
      <c r="C31" t="s">
        <v>453</v>
      </c>
      <c r="D31" t="s">
        <v>360</v>
      </c>
      <c r="E31" t="s">
        <v>403</v>
      </c>
      <c r="F31" t="s">
        <v>404</v>
      </c>
      <c r="I31" t="str">
        <f t="shared" si="0"/>
        <v>q9e-2024-LC01H-S-P1</v>
      </c>
      <c r="J31" t="str">
        <f t="shared" si="1"/>
        <v>m9e-2024-LC01H-S-P1</v>
      </c>
    </row>
    <row r="32" spans="1:10" x14ac:dyDescent="0.55000000000000004">
      <c r="A32" t="s">
        <v>186</v>
      </c>
      <c r="B32" t="s">
        <v>324</v>
      </c>
      <c r="C32" t="s">
        <v>475</v>
      </c>
      <c r="D32" t="s">
        <v>360</v>
      </c>
      <c r="E32" t="s">
        <v>405</v>
      </c>
      <c r="F32" t="s">
        <v>406</v>
      </c>
      <c r="I32" t="str">
        <f t="shared" si="0"/>
        <v>q10a-2024-LC01H-S-P1</v>
      </c>
      <c r="J32" t="str">
        <f t="shared" si="1"/>
        <v>m10a-2024-LC01H-S-P1</v>
      </c>
    </row>
    <row r="33" spans="1:10" x14ac:dyDescent="0.55000000000000004">
      <c r="A33" t="s">
        <v>186</v>
      </c>
      <c r="B33" t="s">
        <v>325</v>
      </c>
      <c r="C33" t="s">
        <v>454</v>
      </c>
      <c r="D33" t="s">
        <v>360</v>
      </c>
      <c r="E33" t="s">
        <v>407</v>
      </c>
      <c r="F33" t="s">
        <v>408</v>
      </c>
      <c r="I33" t="str">
        <f t="shared" si="0"/>
        <v>q10b-2024-LC01H-S-P1</v>
      </c>
      <c r="J33" t="str">
        <f t="shared" si="1"/>
        <v>m10b-2024-LC01H-S-P1</v>
      </c>
    </row>
    <row r="34" spans="1:10" x14ac:dyDescent="0.55000000000000004">
      <c r="A34" t="s">
        <v>186</v>
      </c>
      <c r="B34" t="s">
        <v>325</v>
      </c>
      <c r="C34" t="s">
        <v>476</v>
      </c>
      <c r="D34" t="s">
        <v>360</v>
      </c>
      <c r="E34" t="s">
        <v>409</v>
      </c>
      <c r="F34" t="s">
        <v>410</v>
      </c>
      <c r="I34" t="str">
        <f t="shared" si="0"/>
        <v>q10c-2024-LC01H-S-P1</v>
      </c>
      <c r="J34" t="str">
        <f t="shared" si="1"/>
        <v>m10c-2024-LC01H-S-P1</v>
      </c>
    </row>
    <row r="35" spans="1:10" x14ac:dyDescent="0.55000000000000004">
      <c r="A35" t="s">
        <v>186</v>
      </c>
      <c r="B35" t="s">
        <v>320</v>
      </c>
      <c r="C35" t="s">
        <v>455</v>
      </c>
      <c r="D35" t="s">
        <v>360</v>
      </c>
      <c r="E35" t="s">
        <v>411</v>
      </c>
      <c r="F35" t="s">
        <v>412</v>
      </c>
      <c r="I35" t="str">
        <f t="shared" si="0"/>
        <v>q10d-2024-LC01H-S-P1</v>
      </c>
      <c r="J35" t="str">
        <f t="shared" si="1"/>
        <v>m10d-2024-LC01H-S-P1</v>
      </c>
    </row>
    <row r="36" spans="1:10" x14ac:dyDescent="0.55000000000000004">
      <c r="I36" t="str">
        <f t="shared" si="0"/>
        <v>q-</v>
      </c>
      <c r="J36" t="str">
        <f t="shared" si="1"/>
        <v>m-</v>
      </c>
    </row>
    <row r="37" spans="1:10" x14ac:dyDescent="0.55000000000000004">
      <c r="I37" t="str">
        <f t="shared" si="0"/>
        <v>q-</v>
      </c>
      <c r="J37" t="str">
        <f t="shared" si="1"/>
        <v>m-</v>
      </c>
    </row>
    <row r="38" spans="1:10" x14ac:dyDescent="0.55000000000000004">
      <c r="I38" t="str">
        <f t="shared" si="0"/>
        <v>q-</v>
      </c>
      <c r="J38" t="str">
        <f t="shared" si="1"/>
        <v>m-</v>
      </c>
    </row>
    <row r="39" spans="1:10" x14ac:dyDescent="0.55000000000000004">
      <c r="I39" t="str">
        <f t="shared" si="0"/>
        <v>q-</v>
      </c>
      <c r="J39" t="str">
        <f t="shared" si="1"/>
        <v>m-</v>
      </c>
    </row>
    <row r="40" spans="1:10" x14ac:dyDescent="0.55000000000000004">
      <c r="I40" t="str">
        <f t="shared" si="0"/>
        <v>q-</v>
      </c>
      <c r="J40" t="str">
        <f t="shared" si="1"/>
        <v>m-</v>
      </c>
    </row>
  </sheetData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468E-463C-4189-A58C-88B44DE38120}">
  <dimension ref="A1:L68"/>
  <sheetViews>
    <sheetView topLeftCell="B1" workbookViewId="0">
      <selection activeCell="N14" sqref="N14"/>
    </sheetView>
  </sheetViews>
  <sheetFormatPr defaultRowHeight="14.4" x14ac:dyDescent="0.55000000000000004"/>
  <cols>
    <col min="2" max="2" width="27.3671875" bestFit="1" customWidth="1"/>
    <col min="3" max="3" width="23.41796875" bestFit="1" customWidth="1"/>
  </cols>
  <sheetData>
    <row r="1" spans="1:12" x14ac:dyDescent="0.55000000000000004">
      <c r="A1" t="s">
        <v>205</v>
      </c>
    </row>
    <row r="2" spans="1:12" ht="15.6" x14ac:dyDescent="0.55000000000000004">
      <c r="A2" t="s">
        <v>198</v>
      </c>
      <c r="B2" t="s">
        <v>199</v>
      </c>
      <c r="I2" s="7" t="s">
        <v>326</v>
      </c>
    </row>
    <row r="3" spans="1:12" x14ac:dyDescent="0.55000000000000004">
      <c r="B3" t="s">
        <v>200</v>
      </c>
      <c r="I3" s="4"/>
    </row>
    <row r="4" spans="1:12" x14ac:dyDescent="0.55000000000000004">
      <c r="B4" t="s">
        <v>201</v>
      </c>
      <c r="I4" s="4" t="s">
        <v>327</v>
      </c>
    </row>
    <row r="5" spans="1:12" x14ac:dyDescent="0.55000000000000004">
      <c r="B5" t="s">
        <v>202</v>
      </c>
      <c r="I5" s="4"/>
    </row>
    <row r="6" spans="1:12" x14ac:dyDescent="0.55000000000000004">
      <c r="B6" t="s">
        <v>203</v>
      </c>
      <c r="I6" s="4" t="s">
        <v>328</v>
      </c>
      <c r="L6" s="8"/>
    </row>
    <row r="7" spans="1:12" x14ac:dyDescent="0.55000000000000004">
      <c r="B7" t="s">
        <v>204</v>
      </c>
      <c r="I7" s="4"/>
    </row>
    <row r="8" spans="1:12" x14ac:dyDescent="0.55000000000000004">
      <c r="I8" s="4" t="s">
        <v>329</v>
      </c>
    </row>
    <row r="9" spans="1:12" x14ac:dyDescent="0.55000000000000004">
      <c r="A9" t="s">
        <v>206</v>
      </c>
      <c r="I9" s="4"/>
    </row>
    <row r="10" spans="1:12" x14ac:dyDescent="0.55000000000000004">
      <c r="I10" s="4" t="s">
        <v>330</v>
      </c>
    </row>
    <row r="11" spans="1:12" x14ac:dyDescent="0.55000000000000004">
      <c r="A11" t="s">
        <v>207</v>
      </c>
      <c r="B11" t="s">
        <v>208</v>
      </c>
      <c r="I11" s="4"/>
    </row>
    <row r="12" spans="1:12" x14ac:dyDescent="0.55000000000000004">
      <c r="B12" t="s">
        <v>209</v>
      </c>
      <c r="C12" t="s">
        <v>210</v>
      </c>
      <c r="I12" s="4" t="s">
        <v>331</v>
      </c>
    </row>
    <row r="13" spans="1:12" x14ac:dyDescent="0.55000000000000004">
      <c r="B13" t="s">
        <v>209</v>
      </c>
      <c r="C13" t="s">
        <v>211</v>
      </c>
      <c r="I13" s="4"/>
    </row>
    <row r="14" spans="1:12" x14ac:dyDescent="0.55000000000000004">
      <c r="B14" t="s">
        <v>209</v>
      </c>
      <c r="C14" t="s">
        <v>212</v>
      </c>
      <c r="I14" s="4" t="s">
        <v>332</v>
      </c>
    </row>
    <row r="15" spans="1:12" x14ac:dyDescent="0.55000000000000004">
      <c r="B15" t="s">
        <v>209</v>
      </c>
      <c r="C15" t="s">
        <v>213</v>
      </c>
      <c r="I15" s="4"/>
    </row>
    <row r="16" spans="1:12" x14ac:dyDescent="0.55000000000000004">
      <c r="B16" t="s">
        <v>209</v>
      </c>
      <c r="C16" t="s">
        <v>214</v>
      </c>
      <c r="I16" s="4" t="s">
        <v>333</v>
      </c>
    </row>
    <row r="17" spans="2:9" x14ac:dyDescent="0.55000000000000004">
      <c r="B17" t="s">
        <v>215</v>
      </c>
      <c r="C17" t="s">
        <v>5</v>
      </c>
      <c r="I17" s="4"/>
    </row>
    <row r="18" spans="2:9" x14ac:dyDescent="0.55000000000000004">
      <c r="B18" t="s">
        <v>215</v>
      </c>
      <c r="C18" t="s">
        <v>216</v>
      </c>
      <c r="I18" s="4" t="s">
        <v>312</v>
      </c>
    </row>
    <row r="19" spans="2:9" x14ac:dyDescent="0.55000000000000004">
      <c r="B19" t="s">
        <v>215</v>
      </c>
      <c r="C19" t="s">
        <v>217</v>
      </c>
      <c r="I19" s="4"/>
    </row>
    <row r="20" spans="2:9" x14ac:dyDescent="0.55000000000000004">
      <c r="B20" t="s">
        <v>215</v>
      </c>
      <c r="C20" t="s">
        <v>6</v>
      </c>
      <c r="I20" s="4" t="s">
        <v>334</v>
      </c>
    </row>
    <row r="21" spans="2:9" x14ac:dyDescent="0.55000000000000004">
      <c r="B21" t="s">
        <v>215</v>
      </c>
      <c r="C21" t="s">
        <v>218</v>
      </c>
      <c r="I21" s="4"/>
    </row>
    <row r="22" spans="2:9" x14ac:dyDescent="0.55000000000000004">
      <c r="B22" t="s">
        <v>219</v>
      </c>
      <c r="C22" t="s">
        <v>220</v>
      </c>
      <c r="I22" s="4" t="s">
        <v>307</v>
      </c>
    </row>
    <row r="23" spans="2:9" x14ac:dyDescent="0.55000000000000004">
      <c r="B23" t="s">
        <v>219</v>
      </c>
      <c r="C23" t="s">
        <v>221</v>
      </c>
      <c r="I23" s="4"/>
    </row>
    <row r="24" spans="2:9" x14ac:dyDescent="0.55000000000000004">
      <c r="B24" t="s">
        <v>219</v>
      </c>
      <c r="C24" t="s">
        <v>222</v>
      </c>
      <c r="I24" s="4" t="s">
        <v>308</v>
      </c>
    </row>
    <row r="25" spans="2:9" x14ac:dyDescent="0.55000000000000004">
      <c r="B25" t="s">
        <v>219</v>
      </c>
      <c r="C25" t="s">
        <v>223</v>
      </c>
      <c r="I25" s="4"/>
    </row>
    <row r="26" spans="2:9" x14ac:dyDescent="0.55000000000000004">
      <c r="B26" t="s">
        <v>219</v>
      </c>
      <c r="C26" t="s">
        <v>224</v>
      </c>
      <c r="I26" s="4" t="s">
        <v>335</v>
      </c>
    </row>
    <row r="27" spans="2:9" x14ac:dyDescent="0.55000000000000004">
      <c r="B27" t="s">
        <v>219</v>
      </c>
      <c r="C27" t="s">
        <v>225</v>
      </c>
    </row>
    <row r="28" spans="2:9" ht="15.6" x14ac:dyDescent="0.55000000000000004">
      <c r="I28" s="7" t="s">
        <v>336</v>
      </c>
    </row>
    <row r="29" spans="2:9" x14ac:dyDescent="0.55000000000000004">
      <c r="I29" s="4"/>
    </row>
    <row r="30" spans="2:9" x14ac:dyDescent="0.55000000000000004">
      <c r="I30" s="4" t="s">
        <v>309</v>
      </c>
    </row>
    <row r="31" spans="2:9" x14ac:dyDescent="0.55000000000000004">
      <c r="I31" s="4"/>
    </row>
    <row r="32" spans="2:9" x14ac:dyDescent="0.55000000000000004">
      <c r="I32" s="4" t="s">
        <v>337</v>
      </c>
    </row>
    <row r="33" spans="9:9" x14ac:dyDescent="0.55000000000000004">
      <c r="I33" s="4"/>
    </row>
    <row r="34" spans="9:9" x14ac:dyDescent="0.55000000000000004">
      <c r="I34" s="4" t="s">
        <v>338</v>
      </c>
    </row>
    <row r="35" spans="9:9" x14ac:dyDescent="0.55000000000000004">
      <c r="I35" s="4"/>
    </row>
    <row r="36" spans="9:9" x14ac:dyDescent="0.55000000000000004">
      <c r="I36" s="4" t="s">
        <v>339</v>
      </c>
    </row>
    <row r="37" spans="9:9" x14ac:dyDescent="0.55000000000000004">
      <c r="I37" s="4"/>
    </row>
    <row r="38" spans="9:9" x14ac:dyDescent="0.55000000000000004">
      <c r="I38" s="4" t="s">
        <v>310</v>
      </c>
    </row>
    <row r="39" spans="9:9" x14ac:dyDescent="0.55000000000000004">
      <c r="I39" s="4"/>
    </row>
    <row r="40" spans="9:9" x14ac:dyDescent="0.55000000000000004">
      <c r="I40" s="4" t="s">
        <v>340</v>
      </c>
    </row>
    <row r="42" spans="9:9" ht="15.6" x14ac:dyDescent="0.55000000000000004">
      <c r="I42" s="7" t="s">
        <v>341</v>
      </c>
    </row>
    <row r="43" spans="9:9" x14ac:dyDescent="0.55000000000000004">
      <c r="I43" s="4"/>
    </row>
    <row r="44" spans="9:9" x14ac:dyDescent="0.55000000000000004">
      <c r="I44" s="4" t="s">
        <v>342</v>
      </c>
    </row>
    <row r="45" spans="9:9" x14ac:dyDescent="0.55000000000000004">
      <c r="I45" s="4"/>
    </row>
    <row r="46" spans="9:9" x14ac:dyDescent="0.55000000000000004">
      <c r="I46" s="4" t="s">
        <v>343</v>
      </c>
    </row>
    <row r="47" spans="9:9" x14ac:dyDescent="0.55000000000000004">
      <c r="I47" s="4"/>
    </row>
    <row r="48" spans="9:9" x14ac:dyDescent="0.55000000000000004">
      <c r="I48" s="4" t="s">
        <v>344</v>
      </c>
    </row>
    <row r="49" spans="9:9" x14ac:dyDescent="0.55000000000000004">
      <c r="I49" s="4"/>
    </row>
    <row r="50" spans="9:9" x14ac:dyDescent="0.55000000000000004">
      <c r="I50" s="4" t="s">
        <v>345</v>
      </c>
    </row>
    <row r="51" spans="9:9" x14ac:dyDescent="0.55000000000000004">
      <c r="I51" s="4"/>
    </row>
    <row r="52" spans="9:9" x14ac:dyDescent="0.55000000000000004">
      <c r="I52" s="4" t="s">
        <v>346</v>
      </c>
    </row>
    <row r="53" spans="9:9" x14ac:dyDescent="0.55000000000000004">
      <c r="I53" s="4"/>
    </row>
    <row r="54" spans="9:9" x14ac:dyDescent="0.55000000000000004">
      <c r="I54" s="4" t="s">
        <v>347</v>
      </c>
    </row>
    <row r="55" spans="9:9" x14ac:dyDescent="0.55000000000000004">
      <c r="I55" s="4"/>
    </row>
    <row r="56" spans="9:9" x14ac:dyDescent="0.55000000000000004">
      <c r="I56" s="4" t="s">
        <v>348</v>
      </c>
    </row>
    <row r="57" spans="9:9" x14ac:dyDescent="0.55000000000000004">
      <c r="I57" s="4"/>
    </row>
    <row r="58" spans="9:9" x14ac:dyDescent="0.55000000000000004">
      <c r="I58" s="4" t="s">
        <v>306</v>
      </c>
    </row>
    <row r="60" spans="9:9" ht="15.6" x14ac:dyDescent="0.55000000000000004">
      <c r="I60" s="7" t="s">
        <v>349</v>
      </c>
    </row>
    <row r="61" spans="9:9" x14ac:dyDescent="0.55000000000000004">
      <c r="I61" s="4"/>
    </row>
    <row r="62" spans="9:9" x14ac:dyDescent="0.55000000000000004">
      <c r="I62" s="4" t="s">
        <v>311</v>
      </c>
    </row>
    <row r="63" spans="9:9" x14ac:dyDescent="0.55000000000000004">
      <c r="I63" s="4"/>
    </row>
    <row r="64" spans="9:9" x14ac:dyDescent="0.55000000000000004">
      <c r="I64" s="4" t="s">
        <v>350</v>
      </c>
    </row>
    <row r="65" spans="9:9" x14ac:dyDescent="0.55000000000000004">
      <c r="I65" s="4"/>
    </row>
    <row r="66" spans="9:9" x14ac:dyDescent="0.55000000000000004">
      <c r="I66" s="4" t="s">
        <v>351</v>
      </c>
    </row>
    <row r="67" spans="9:9" x14ac:dyDescent="0.55000000000000004">
      <c r="I67" s="4"/>
    </row>
    <row r="68" spans="9:9" x14ac:dyDescent="0.55000000000000004">
      <c r="I68" s="4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Chapters</vt:lpstr>
      <vt:lpstr>Questions</vt:lpstr>
      <vt:lpstr>Prev_Exam_Papers</vt:lpstr>
      <vt:lpstr>Prev_Exam_Papers - table data</vt:lpstr>
      <vt:lpstr>Prev_Exam_Questions</vt:lpstr>
      <vt:lpstr>Prev_Exam_Questions - draft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Jyothsna Sirasanameti</dc:creator>
  <cp:lastModifiedBy>Jyothsna Sirasanameti</cp:lastModifiedBy>
  <dcterms:created xsi:type="dcterms:W3CDTF">2025-04-14T15:38:47Z</dcterms:created>
  <dcterms:modified xsi:type="dcterms:W3CDTF">2025-07-28T20:40:32Z</dcterms:modified>
</cp:coreProperties>
</file>